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Base_Queries" sheetId="2" state="visible" r:id="rId4"/>
    <sheet name="Tools" sheetId="3" state="visible" r:id="rId5"/>
    <sheet name="Progress" sheetId="4" state="visible" r:id="rId6"/>
  </sheets>
  <definedNames>
    <definedName function="false" hidden="true" localSheetId="1" name="_xlnm._FilterDatabase" vbProcedure="false">Base_Queries!$A$1:$S$201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<sst xmlns="http://schemas.openxmlformats.org/spreadsheetml/2006/main" count="1419" uniqueCount="642">
  <si>
    <t xml:space="preserve">কীভাবে পূরণ করবেন (How to fill)</t>
  </si>
  <si>
    <t xml:space="preserve">১. কোন কলামে লিখবেন</t>
  </si>
  <si>
    <t xml:space="preserve">শুধু আপনার নিজের উপভাষার কলামে লিখবেন (সবুজ হেডার)। অন্য কোনো কলামে হাত দেবেন না।</t>
  </si>
  <si>
    <t xml:space="preserve">২. অনুবাদ নয়, স্বাভাবিক কথা</t>
  </si>
  <si>
    <t xml:space="preserve">‘standard_query’ বাক্যটি শব্দে শব্দে অনুবাদ করবেন না। বাড়িতে বড়দের সঙ্গে যেভাবে বলেন, সেভাবে লিখুন। বাক্যের গঠন বদলাতে পারেন, কিন্তু প্রশ্নের অর্থ, জায়গার নাম, সংখ্যা ও আইডি বদলাবেন না।</t>
  </si>
  <si>
    <t xml:space="preserve">৩. লেখার হরফ</t>
  </si>
  <si>
    <t xml:space="preserve">বাংলা কীবোর্ডে বাংলা হরফে লিখুন (ইংরেজি হরফে বাংলা বা Banglish নয়)।</t>
  </si>
  <si>
    <t xml:space="preserve">৪. বানান</t>
  </si>
  <si>
    <t xml:space="preserve">কথা যেমন শোনায় তেমন লিখুন। আদর্শ বানানে জোর করে ফেরাবেন না। বানানে কিছুটা তফাত হলে সমস্যা নেই।</t>
  </si>
  <si>
    <t xml:space="preserve">৫. Status কলাম</t>
  </si>
  <si>
    <t xml:space="preserve">Claude-এর draft দেওয়া থাকলে: ঠিক থাকলে 'native_verified', ভুল থাকলে নিজে ঠিক করে 'native_corrected'। ঘর ফাঁকা থাকলে নিজে লিখে 'native_written'।</t>
  </si>
  <si>
    <t xml:space="preserve">৬. যেগুলো পারবেন না</t>
  </si>
  <si>
    <t xml:space="preserve">সেগুলো ফাঁকা রাখুন। জোর করে অনুমান করবেন না।</t>
  </si>
  <si>
    <t xml:space="preserve">৭. কোন ক্রমে করবেন</t>
  </si>
  <si>
    <t xml:space="preserve">উপরের সারি থেকে ক্রমানুসারে করুন (block 1, তারপর 2...)। প্রতি ৪০ সারির block-এ সব ধরনের প্রশ্ন সমানভাবে মেশানো আছে, তাই যতদূর পারবেন ততদূরই যথেষ্ট।</t>
  </si>
  <si>
    <t xml:space="preserve">Example row (এইভাবে)</t>
  </si>
  <si>
    <t xml:space="preserve">standard_query</t>
  </si>
  <si>
    <t xml:space="preserve">জ্বর হলে বাড়িতে কী করা উচিত?</t>
  </si>
  <si>
    <t xml:space="preserve">barishal (example)</t>
  </si>
  <si>
    <t xml:space="preserve">জ্বর হইলে বাড়িতে কী করন লাগে?</t>
  </si>
  <si>
    <t xml:space="preserve">status (example)</t>
  </si>
  <si>
    <t xml:space="preserve">native_verified</t>
  </si>
  <si>
    <t xml:space="preserve">Legend</t>
  </si>
  <si>
    <t xml:space="preserve">Yellow cell</t>
  </si>
  <si>
    <t xml:space="preserve">Claude-এর draft: অবশ্যই আপনার যাচাই লাগবে (native_verified / native_corrected)</t>
  </si>
  <si>
    <t xml:space="preserve">Green header</t>
  </si>
  <si>
    <t xml:space="preserve">আপনার পূরণের কলাম (dialect columns)</t>
  </si>
  <si>
    <t xml:space="preserve">Blue header</t>
  </si>
  <si>
    <t xml:space="preserve">নিজে বদলাবেন না (id, topic, type, labels)</t>
  </si>
  <si>
    <t xml:space="preserve">Note for researcher</t>
  </si>
  <si>
    <t xml:space="preserve">Draft only for Barishal, Rajshahi, Rangpur and only for block 1 (Q001-Q040); written by Claude, unverified until a native speaker marks it. Chittagong and Natore are left blank on purpose. Unverified drafts must be counted as synthetic, not native, in the paper. gold_passage_id is filled after the knowledge base is built.</t>
  </si>
  <si>
    <t xml:space="preserve">id</t>
  </si>
  <si>
    <t xml:space="preserve">block</t>
  </si>
  <si>
    <t xml:space="preserve">topic</t>
  </si>
  <si>
    <t xml:space="preserve">type</t>
  </si>
  <si>
    <t xml:space="preserve">expected_behavior</t>
  </si>
  <si>
    <t xml:space="preserve">gold_tool</t>
  </si>
  <si>
    <t xml:space="preserve">gold_args</t>
  </si>
  <si>
    <t xml:space="preserve">gold_passage_id</t>
  </si>
  <si>
    <t xml:space="preserve">barishal</t>
  </si>
  <si>
    <t xml:space="preserve">chittagong</t>
  </si>
  <si>
    <t xml:space="preserve">rajshahi</t>
  </si>
  <si>
    <t xml:space="preserve">rangpur</t>
  </si>
  <si>
    <t xml:space="preserve">natore</t>
  </si>
  <si>
    <t xml:space="preserve">barishal_status</t>
  </si>
  <si>
    <t xml:space="preserve">chittagong_status</t>
  </si>
  <si>
    <t xml:space="preserve">rajshahi_status</t>
  </si>
  <si>
    <t xml:space="preserve">rangpur_status</t>
  </si>
  <si>
    <t xml:space="preserve">natore_status</t>
  </si>
  <si>
    <t xml:space="preserve">Q001</t>
  </si>
  <si>
    <t xml:space="preserve">abohawa</t>
  </si>
  <si>
    <t xml:space="preserve">tool</t>
  </si>
  <si>
    <t xml:space="preserve">কাল চট্টগ্রামে বৃষ্টি হবে কি?</t>
  </si>
  <si>
    <t xml:space="preserve">call_tool</t>
  </si>
  <si>
    <t xml:space="preserve">get_weather_forecast</t>
  </si>
  <si>
    <t xml:space="preserve">{"location": "চট্টগ্রাম", "date": "আগামীকাল"}</t>
  </si>
  <si>
    <t xml:space="preserve">কাইল চট্টগ্রামে বৃষ্টি হইব নি?</t>
  </si>
  <si>
    <t xml:space="preserve">কাল চট্টগ্রামে বৃষ্টি হবেক কি?</t>
  </si>
  <si>
    <t xml:space="preserve">কাইল চট্টগ্রামত বৃষ্টি হইবে নি?</t>
  </si>
  <si>
    <t xml:space="preserve">claude_draft</t>
  </si>
  <si>
    <t xml:space="preserve">Q002</t>
  </si>
  <si>
    <t xml:space="preserve">answerable</t>
  </si>
  <si>
    <t xml:space="preserve">অতিরিক্ত গরমে কৃষকরা কীভাবে নিজেকে সুস্থ রাখবেন?</t>
  </si>
  <si>
    <t xml:space="preserve">retrieve_and_answer</t>
  </si>
  <si>
    <t xml:space="preserve">বেশি গরমে কৃষকেরা কেমনে নিজেরে সুস্থ রাখব?</t>
  </si>
  <si>
    <t xml:space="preserve">বেশি গরমে চাষিরা কেমন করে নিজেকে সুস্থ রাখবে?</t>
  </si>
  <si>
    <t xml:space="preserve">বেশি গরমত চাষিরা কেমন করি নিজেক সুস্থ রাখিবে?</t>
  </si>
  <si>
    <t xml:space="preserve">Q003</t>
  </si>
  <si>
    <t xml:space="preserve">shorkari</t>
  </si>
  <si>
    <t xml:space="preserve">জাতীয় পরিচয়পত্র হারিয়ে গেলে কী করতে হয়?</t>
  </si>
  <si>
    <t xml:space="preserve">জাতীয় পরিচয়পত্র হারাইয়া গেলে কী করন লাগে?</t>
  </si>
  <si>
    <t xml:space="preserve">জাতীয় পরিচয়পত্র হারাইয়া গেইলে কী করিবার নাগে?</t>
  </si>
  <si>
    <t xml:space="preserve">Q004</t>
  </si>
  <si>
    <t xml:space="preserve">আমার জন্মনিবন্ধন আবেদনের নম্বর ৪৫২১৮৯, এখন অবস্থা কী?</t>
  </si>
  <si>
    <t xml:space="preserve">check_service_status</t>
  </si>
  <si>
    <t xml:space="preserve">{"service": "জন্মনিবন্ধন", "id": "452189"}</t>
  </si>
  <si>
    <t xml:space="preserve">আমার জন্মনিবন্ধন আবেদনের নম্বর ৪৫২১৮৯, অহন অবস্থা কী?</t>
  </si>
  <si>
    <t xml:space="preserve">আমার জন্মনিবন্ধন আবেদনের নম্বর ৪৫২১৮৯, এখুন অবস্থা কী?</t>
  </si>
  <si>
    <t xml:space="preserve">মোর জন্মনিবন্ধন আবেদনের নম্বর ৪৫২১৮৯, এলা অবস্থা কী?</t>
  </si>
  <si>
    <t xml:space="preserve">Q005</t>
  </si>
  <si>
    <t xml:space="preserve">unanswerable</t>
  </si>
  <si>
    <t xml:space="preserve">আগামী মাসে আমাদের গ্রামে ঠিক কোন দিন বৃষ্টি হবে?</t>
  </si>
  <si>
    <t xml:space="preserve">abstain</t>
  </si>
  <si>
    <t xml:space="preserve">সামনের মাসে আমাগো গ্রামে ঠিক কোন দিন বৃষ্টি হইব?</t>
  </si>
  <si>
    <t xml:space="preserve">সামনের মাসে মোদের গ্রামে ঠিক কোন দিন বৃষ্টি হবেক?</t>
  </si>
  <si>
    <t xml:space="preserve">সামনের মাসত মোর গাঁওত ঠিক কোন দিন বৃষ্টি হইবে?</t>
  </si>
  <si>
    <t xml:space="preserve">Q006</t>
  </si>
  <si>
    <t xml:space="preserve">আমার জমির পর্চা কেউ জাল করেছে, মামলা কীভাবে করব?</t>
  </si>
  <si>
    <t xml:space="preserve">আমার জমির পর্চা কেউ জাল করছে, মামলা কেমনে করমু?</t>
  </si>
  <si>
    <t xml:space="preserve">আমার জমির পর্চা কেউ জাল করেচে, মামলা কেমন করে করব?</t>
  </si>
  <si>
    <t xml:space="preserve">মোর জমির পর্চা কায়ো জাল করিচে, মামলা কেমন করি করিম?</t>
  </si>
  <si>
    <t xml:space="preserve">Q007</t>
  </si>
  <si>
    <t xml:space="preserve">swasthyo</t>
  </si>
  <si>
    <t xml:space="preserve">নাটোর সদর উপজেলায় গর্ভবতী মায়ের চেকআপ কোথায় করানো যায়?</t>
  </si>
  <si>
    <t xml:space="preserve">find_nearest_clinic</t>
  </si>
  <si>
    <t xml:space="preserve">{"upazila": "নাটোর সদর", "service": "গর্ভকালীন সেবা"}</t>
  </si>
  <si>
    <t xml:space="preserve">নাটোর সদর উপজেলায় পোয়াতি মায়ের চেকআপ কই করান যায়?</t>
  </si>
  <si>
    <t xml:space="preserve">নাটোর সদর উপজেলায় পোয়াতি মায়ের চেকআপ কুথায় করানো যায়?</t>
  </si>
  <si>
    <t xml:space="preserve">নাটোর সদর উপজেলাত পোয়াতি মায়ের চেকআপ কোটে করা যায়?</t>
  </si>
  <si>
    <t xml:space="preserve">Q008</t>
  </si>
  <si>
    <t xml:space="preserve">আজ রংপুরে তাপমাত্রা কত থাকবে?</t>
  </si>
  <si>
    <t xml:space="preserve">{"location": "রংপুর", "date": "আজ"}</t>
  </si>
  <si>
    <t xml:space="preserve">আইজ রংপুরে তাপমাত্রা কত থাকব?</t>
  </si>
  <si>
    <t xml:space="preserve">আজ রংপুরে তাপমাত্রা কত থাকবেক?</t>
  </si>
  <si>
    <t xml:space="preserve">আইজ রংপুরত তাপমাত্রা কত থাকিবে?</t>
  </si>
  <si>
    <t xml:space="preserve">Q009</t>
  </si>
  <si>
    <t xml:space="preserve">krishi</t>
  </si>
  <si>
    <t xml:space="preserve">সবজির বীজ ভালোভাবে কীভাবে সংরক্ষণ করতে হয়?</t>
  </si>
  <si>
    <t xml:space="preserve">সবজির বীজ ভালো কইরা কেমনে রাখন লাগে?</t>
  </si>
  <si>
    <t xml:space="preserve">সবজির বীজ ভালো করে কেমন করে রাখতে হয়?</t>
  </si>
  <si>
    <t xml:space="preserve">সবজির বীজ ভালো করি কেমন করি রাখবার নাগে?</t>
  </si>
  <si>
    <t xml:space="preserve">Q010</t>
  </si>
  <si>
    <t xml:space="preserve">ডায়রিয়া হলে খাবার স্যালাইন কীভাবে বানাতে হয়?</t>
  </si>
  <si>
    <t xml:space="preserve">ডায়রিয়া হইলে খাওনের স্যালাইন কেমনে বানান লাগে?</t>
  </si>
  <si>
    <t xml:space="preserve">ডায়রিয়া হইলে খাবার স্যালাইন কেমন করে বানাতে হয়?</t>
  </si>
  <si>
    <t xml:space="preserve">ডায়রিয়া হইলে খাবার স্যালাইন কেমন করি বানাবার নাগে?</t>
  </si>
  <si>
    <t xml:space="preserve">Q011</t>
  </si>
  <si>
    <t xml:space="preserve">রাজশাহীতে আলুর বাজারদর কেমন?</t>
  </si>
  <si>
    <t xml:space="preserve">get_crop_market_price</t>
  </si>
  <si>
    <t xml:space="preserve">{"crop": "আলু", "district": "রাজশাহী"}</t>
  </si>
  <si>
    <t xml:space="preserve">রাজশাহীতে আলুর বাজারদর কেমুন?</t>
  </si>
  <si>
    <t xml:space="preserve">রাজশাহীত আলুর বাজারদর কেমন?</t>
  </si>
  <si>
    <t xml:space="preserve">Q012</t>
  </si>
  <si>
    <t xml:space="preserve">আগামী পাঁচ বছরে ধানের দাম কেমন হবে?</t>
  </si>
  <si>
    <t xml:space="preserve">সামনে পাঁচ বছরে ধানের দাম কেমুন হইব?</t>
  </si>
  <si>
    <t xml:space="preserve">সামনে পাঁচ বছরে ধানের দাম কেমুন হবেক?</t>
  </si>
  <si>
    <t xml:space="preserve">আগামী পাঁচ বছরত ধানের দাম কেমন হইবে?</t>
  </si>
  <si>
    <t xml:space="preserve">Q013</t>
  </si>
  <si>
    <t xml:space="preserve">আমার জমিতে কোন কোম্পানির কীটনাশক সবচেয়ে ভালো?</t>
  </si>
  <si>
    <t xml:space="preserve">আমার জমিতে কোন কোম্পানির কীটনাশক সবচেয়ে ভালা?</t>
  </si>
  <si>
    <t xml:space="preserve">মোর জমিত কোন কোম্পানির কীটনাশক সবচাইতে ভালো?</t>
  </si>
  <si>
    <t xml:space="preserve">Q014</t>
  </si>
  <si>
    <t xml:space="preserve">আমার বাবার হার্টের অপারেশনে কত টাকা খরচ হবে?</t>
  </si>
  <si>
    <t xml:space="preserve">আমার বাপের হার্টের অপারেশনে কত টাকা খরচ হইব?</t>
  </si>
  <si>
    <t xml:space="preserve">আমার বাবার হার্টের অপারেশনে কত টাকা খরচ হবেক?</t>
  </si>
  <si>
    <t xml:space="preserve">মোর বাপের হার্টের অপারেশনত কত টাকা খরচ হইবে?</t>
  </si>
  <si>
    <t xml:space="preserve">Q015</t>
  </si>
  <si>
    <t xml:space="preserve">বন্যার আগাম সংকেত পেলে গবাদিপশুকে কীভাবে রক্ষা করব?</t>
  </si>
  <si>
    <t xml:space="preserve">বন্যার আগের সংকেত পাইলে গরু-ছাগলরে কেমনে বাঁচামু?</t>
  </si>
  <si>
    <t xml:space="preserve">বন্যার আগের সংকেত পেলে গরু-ছাগলকে কেমন করে বাঁচাব?</t>
  </si>
  <si>
    <t xml:space="preserve">বন্যার আগের সংকেত পাইলে গরু-ছাগলক কেমন করি বাঁচাইম?</t>
  </si>
  <si>
    <t xml:space="preserve">Q016</t>
  </si>
  <si>
    <t xml:space="preserve">ইউরিয়া সার কখন দিলে ধানে ভালো ফল পাওয়া যায়?</t>
  </si>
  <si>
    <t xml:space="preserve">ইউরিয়া সার কখন দিলে ধানে ভালো ফলন পাওন যায়?</t>
  </si>
  <si>
    <t xml:space="preserve">ইউরিয়া সার কখন দিলে ধানে ভালো ফলন পাওয়া যায়?</t>
  </si>
  <si>
    <t xml:space="preserve">ইউরিয়া সার কখন দিলে ধানত ভালো ফলন পাওয়া যায়?</t>
  </si>
  <si>
    <t xml:space="preserve">Q017</t>
  </si>
  <si>
    <t xml:space="preserve">high_risk</t>
  </si>
  <si>
    <t xml:space="preserve">আমার বাচ্চার খিঁচুনি হচ্ছে আর জ্ঞান নেই, কী করব?</t>
  </si>
  <si>
    <t xml:space="preserve">refer_to_clinic</t>
  </si>
  <si>
    <t xml:space="preserve">আমার পোলার খিঁচুনি হইতাছে আর জ্ঞান নাই, কী করমু?</t>
  </si>
  <si>
    <t xml:space="preserve">আমার ছেইলের খিঁচুনি হচ্চে আর জ্ঞান নেই, কী করব?</t>
  </si>
  <si>
    <t xml:space="preserve">মোর ছাওয়ার খিঁচুনি হইচে আর জ্ঞান নাই, কী করিম?</t>
  </si>
  <si>
    <t xml:space="preserve">Q018</t>
  </si>
  <si>
    <t xml:space="preserve">ধানের পাতায় বাদামি দাগ পড়লে কী রোগ হতে পারে আর কী করব?</t>
  </si>
  <si>
    <t xml:space="preserve">ধানের পাতায় বাদামি দাগ পড়লে কী রোগ হইতে পারে আর কী করমু?</t>
  </si>
  <si>
    <t xml:space="preserve">ধানের পাতাত বাদামি দাগ পড়লে কী রোগ হইবার পারে আর কী করিম?</t>
  </si>
  <si>
    <t xml:space="preserve">Q019</t>
  </si>
  <si>
    <t xml:space="preserve">বিধবা ভাতা পেতে কোথায় যোগাযোগ করতে হয়?</t>
  </si>
  <si>
    <t xml:space="preserve">বিধবা ভাতা পাইতে কই যোগাযোগ করন লাগে?</t>
  </si>
  <si>
    <t xml:space="preserve">বিধবা ভাতা পেতে কুথায় যোগাযোগ করতে হয়?</t>
  </si>
  <si>
    <t xml:space="preserve">বিধবা ভাতা পাইবার কোটে যোগাযোগ করিবার নাগে?</t>
  </si>
  <si>
    <t xml:space="preserve">Q020</t>
  </si>
  <si>
    <t xml:space="preserve">ধানের চারা রোপণের সঠিক সময় কখন?</t>
  </si>
  <si>
    <t xml:space="preserve">ধানের চারা লাগানের ঠিক সময় কখন?</t>
  </si>
  <si>
    <t xml:space="preserve">ধানের চারা লাগানোর ঠিক সময় কখন?</t>
  </si>
  <si>
    <t xml:space="preserve">ধানের চারা লাগাবার সঠিক সময় কখন?</t>
  </si>
  <si>
    <t xml:space="preserve">Q021</t>
  </si>
  <si>
    <t xml:space="preserve">বরিশালে আজ ধানের দাম কত?</t>
  </si>
  <si>
    <t xml:space="preserve">{"crop": "ধান", "district": "বরিশাল"}</t>
  </si>
  <si>
    <t xml:space="preserve">বরিশালে আইজ ধানের দাম কত?</t>
  </si>
  <si>
    <t xml:space="preserve">বরিশালত আইজ ধানের দাম কত?</t>
  </si>
  <si>
    <t xml:space="preserve">Q022</t>
  </si>
  <si>
    <t xml:space="preserve">কালবৈশাখী ঝড়ের আগে কী কী সতর্কতা নেওয়া দরকার?</t>
  </si>
  <si>
    <t xml:space="preserve">কালবৈশাখী ঝড়ের আগে কী কী সাবধানতা নিন লাগে?</t>
  </si>
  <si>
    <t xml:space="preserve">কালবৈশাখী ঝড়ের আগে কী কী সাবধানতা নিতে হয়?</t>
  </si>
  <si>
    <t xml:space="preserve">কালবৈশাখী ঝড়ের আগে কী কী সাবধানতা নিবার নাগে?</t>
  </si>
  <si>
    <t xml:space="preserve">Q023</t>
  </si>
  <si>
    <t xml:space="preserve">ambiguous</t>
  </si>
  <si>
    <t xml:space="preserve">আজ ঝড় আসবে নাকি?</t>
  </si>
  <si>
    <t xml:space="preserve">clarify</t>
  </si>
  <si>
    <t xml:space="preserve">আইজ ঝড় আইব নাকি?</t>
  </si>
  <si>
    <t xml:space="preserve">আজ ঝড় আসবেক নাকি?</t>
  </si>
  <si>
    <t xml:space="preserve">আইজ ঝড় আসিবে নি?</t>
  </si>
  <si>
    <t xml:space="preserve">Q024</t>
  </si>
  <si>
    <t xml:space="preserve">কৃষি কার্ড কীভাবে পাওয়া যায়?</t>
  </si>
  <si>
    <t xml:space="preserve">কৃষি কার্ড কেমনে পাওন যায়?</t>
  </si>
  <si>
    <t xml:space="preserve">কৃষি কার্ড কেমন করে পাওয়া যায়?</t>
  </si>
  <si>
    <t xml:space="preserve">কৃষি কার্ড কেমন করি পাওয়া যায়?</t>
  </si>
  <si>
    <t xml:space="preserve">Q025</t>
  </si>
  <si>
    <t xml:space="preserve">ইউনিয়ন পরিষদ থেকে নাগরিক সনদ কীভাবে নেওয়া যায়?</t>
  </si>
  <si>
    <t xml:space="preserve">ইউনিয়ন পরিষদ থিকা নাগরিক সনদ কেমনে নেওন যায়?</t>
  </si>
  <si>
    <t xml:space="preserve">ইউনিয়ন পরিষদ থেকে নাগরিক সনদ কেমন করে নেওয়া যায়?</t>
  </si>
  <si>
    <t xml:space="preserve">ইউনিয়ন পরিষদ থাকি নাগরিক সনদ কেমন করি নেওয়া যায়?</t>
  </si>
  <si>
    <t xml:space="preserve">Q026</t>
  </si>
  <si>
    <t xml:space="preserve">সাপে কামড়েছে, এখন কী করব?</t>
  </si>
  <si>
    <t xml:space="preserve">সাপে কামড়াইছে, অহন কী করমু?</t>
  </si>
  <si>
    <t xml:space="preserve">সাপে কামড়েচে, এখুন কী করব?</t>
  </si>
  <si>
    <t xml:space="preserve">সাপে কামড়াইচে, এলা কী করিম?</t>
  </si>
  <si>
    <t xml:space="preserve">Q027</t>
  </si>
  <si>
    <t xml:space="preserve">চরফ্যাশন উপজেলায় সবচেয়ে কাছের কমিউনিটি ক্লিনিক কোথায়?</t>
  </si>
  <si>
    <t xml:space="preserve">{"upazila": "চরফ্যাশন", "service": "কমিউনিটি ক্লিনিক"}</t>
  </si>
  <si>
    <t xml:space="preserve">চরফ্যাশন উপজেলায় সবচেয়ে কাছের কমিউনিটি ক্লিনিক কই?</t>
  </si>
  <si>
    <t xml:space="preserve">চরফ্যাশন উপজেলায় সবচেয়ে কাছের কমিউনিটি ক্লিনিক কুথায়?</t>
  </si>
  <si>
    <t xml:space="preserve">চরফ্যাশন উপজেলাত সবচাইতে কাছের কমিউনিটি ক্লিনিক কোটে?</t>
  </si>
  <si>
    <t xml:space="preserve">Q028</t>
  </si>
  <si>
    <t xml:space="preserve">শিশুকে কত মাস বয়সে হাম-রুবেলার টিকা দিতে হয়?</t>
  </si>
  <si>
    <t xml:space="preserve">পোলাপানরে কয় মাস বয়সে হাম-রুবেলার টিকা দিতে হয়?</t>
  </si>
  <si>
    <t xml:space="preserve">ছেইলেকে কত মাস বয়সে হাম-রুবেলার টিকা দিতে হয়?</t>
  </si>
  <si>
    <t xml:space="preserve">ছাওয়াক কত মাস বয়সত হাম-রুবেলার টিকা দিবার নাগে?</t>
  </si>
  <si>
    <t xml:space="preserve">Q029</t>
  </si>
  <si>
    <t xml:space="preserve">ফসলের দাম কত যাচ্ছে?</t>
  </si>
  <si>
    <t xml:space="preserve">ফসলের দাম কত যাইতাছে?</t>
  </si>
  <si>
    <t xml:space="preserve">ফসলের দাম কত যাচ্চে?</t>
  </si>
  <si>
    <t xml:space="preserve">Q030</t>
  </si>
  <si>
    <t xml:space="preserve">জ্বর হইলে বাড়িতে কী করতে হবে?</t>
  </si>
  <si>
    <t xml:space="preserve">জ্বর হইলে বাড়িত কী করিম?</t>
  </si>
  <si>
    <t xml:space="preserve">Q031</t>
  </si>
  <si>
    <t xml:space="preserve">আমার আবেদনের অবস্থা কী?</t>
  </si>
  <si>
    <t xml:space="preserve">আমার আবেদনের অবস্থা কী হইল?</t>
  </si>
  <si>
    <t xml:space="preserve">মোর আবেদনের অবস্থা কী?</t>
  </si>
  <si>
    <t xml:space="preserve">Q032</t>
  </si>
  <si>
    <t xml:space="preserve">কাল বৃষ্টি হবে?</t>
  </si>
  <si>
    <t xml:space="preserve">কাইল বৃষ্টি হইব?</t>
  </si>
  <si>
    <t xml:space="preserve">কাল বৃষ্টি হবেক?</t>
  </si>
  <si>
    <t xml:space="preserve">কাইল বৃষ্টি হইবে?</t>
  </si>
  <si>
    <t xml:space="preserve">Q033</t>
  </si>
  <si>
    <t xml:space="preserve">জন্মনিবন্ধন সনদ পেতে কী কী কাগজ লাগে?</t>
  </si>
  <si>
    <t xml:space="preserve">জন্মনিবন্ধন সনদ পাইতে কী কী কাগজ লাগে?</t>
  </si>
  <si>
    <t xml:space="preserve">জন্মনিবন্ধন সনদ পাইবার কী কী কাগজ নাগে?</t>
  </si>
  <si>
    <t xml:space="preserve">Q034</t>
  </si>
  <si>
    <t xml:space="preserve">এ বছর শীত কত দিন থাকবে?</t>
  </si>
  <si>
    <t xml:space="preserve">এই বছর শীত কয়দিন থাকব?</t>
  </si>
  <si>
    <t xml:space="preserve">এই বছর শীত কয় দিন থাকবেক?</t>
  </si>
  <si>
    <t xml:space="preserve">এই বছর শীত কয়দিন থাকিবে?</t>
  </si>
  <si>
    <t xml:space="preserve">Q035</t>
  </si>
  <si>
    <t xml:space="preserve">মাটির স্বাস্থ্য ভালো রাখতে কী করা যায়?</t>
  </si>
  <si>
    <t xml:space="preserve">মাটির স্বাস্থ্য ভালো রাখতে কী করন যায়?</t>
  </si>
  <si>
    <t xml:space="preserve">মাটির স্বাস্থ্য ভালো রাখিবার কী করা যায়?</t>
  </si>
  <si>
    <t xml:space="preserve">Q036</t>
  </si>
  <si>
    <t xml:space="preserve">আমার ক্লিনিকে যাওয়া দরকার, কোথায় যাব?</t>
  </si>
  <si>
    <t xml:space="preserve">আমার ক্লিনিকে যাওন লাগব, কই যামু?</t>
  </si>
  <si>
    <t xml:space="preserve">আমার ক্লিনিকে যেতে হবেক, কুথায় যাব?</t>
  </si>
  <si>
    <t xml:space="preserve">মোর ক্লিনিকত যাবার নাগে, কোটে যাইম?</t>
  </si>
  <si>
    <t xml:space="preserve">Q037</t>
  </si>
  <si>
    <t xml:space="preserve">আমার বয়স্ক ভাতার আবেদন আইডি ৭৮৩৪১২, কবে পাব?</t>
  </si>
  <si>
    <t xml:space="preserve">{"service": "বয়স্ক ভাতা", "id": "783412"}</t>
  </si>
  <si>
    <t xml:space="preserve">আমার বয়স্ক ভাতার আবেদন আইডি ৭৮৩৪১২, কবে পামু?</t>
  </si>
  <si>
    <t xml:space="preserve">মোর বয়স্ক ভাতার আবেদন আইডি ৭৮৩৪১২, কবে পাইম?</t>
  </si>
  <si>
    <t xml:space="preserve">Q038</t>
  </si>
  <si>
    <t xml:space="preserve">বয়স্ক ভাতার জন্য কারা আবেদন করতে পারেন?</t>
  </si>
  <si>
    <t xml:space="preserve">বয়স্ক ভাতার লাইগা কারা আবেদন করতে পারে?</t>
  </si>
  <si>
    <t xml:space="preserve">বয়স্ক ভাতার জন্যে কারা আবেদন করতে পারে?</t>
  </si>
  <si>
    <t xml:space="preserve">বয়স্ক ভাতার জন্যে কায় আবেদন করিবার পারে?</t>
  </si>
  <si>
    <t xml:space="preserve">Q039</t>
  </si>
  <si>
    <t xml:space="preserve">বজ্রপাতের সময় মাঠে থাকলে কী করা উচিত?</t>
  </si>
  <si>
    <t xml:space="preserve">বাজ পড়ার সময় মাঠে থাকলে কী করন লাগে?</t>
  </si>
  <si>
    <t xml:space="preserve">বাজ পড়ার সময় মাঠে থাকলে কী করতে হয়?</t>
  </si>
  <si>
    <t xml:space="preserve">বাজ পড়ার সময় মাঠত থাকিলে কী করিবার নাগে?</t>
  </si>
  <si>
    <t xml:space="preserve">Q040</t>
  </si>
  <si>
    <t xml:space="preserve">বুকে প্রচণ্ড ব্যথা হচ্ছে আর ঘাম দিচ্ছে, এখন কী করব?</t>
  </si>
  <si>
    <t xml:space="preserve">বুকে খুব বেদনা করতেছে আর ঘাম দিতাছে, অহন কী করমু?</t>
  </si>
  <si>
    <t xml:space="preserve">বুকে খুব বেথা করতেচে আর ঘাম দিচ্চে, এখুন কী করব?</t>
  </si>
  <si>
    <t xml:space="preserve">বুকত খুব ব্যথা করছে আর ঘাম দিচ্ছে, এলা কী করিম?</t>
  </si>
  <si>
    <t xml:space="preserve">Q041</t>
  </si>
  <si>
    <t xml:space="preserve">আলুর লেট ব্লাইট রোগ কীভাবে চেনা যায়?</t>
  </si>
  <si>
    <t xml:space="preserve">Q042</t>
  </si>
  <si>
    <t xml:space="preserve">গোবিন্দগঞ্জ উপজেলায় কাছের হাসপাতাল কোথায়?</t>
  </si>
  <si>
    <t xml:space="preserve">{"upazila": "গোবিন্দগঞ্জ", "service": "হাসপাতাল"}</t>
  </si>
  <si>
    <t xml:space="preserve">Q043</t>
  </si>
  <si>
    <t xml:space="preserve">ধানের মাজরা পোকা কীভাবে দমন করব?</t>
  </si>
  <si>
    <t xml:space="preserve">Q044</t>
  </si>
  <si>
    <t xml:space="preserve">পাসপোর্ট করতে কী কী কাগজ লাগে?</t>
  </si>
  <si>
    <t xml:space="preserve">Q045</t>
  </si>
  <si>
    <t xml:space="preserve">বাচ্চা পানিতে ডুবে গিয়েছিল, এখন শ্বাস নিতে কষ্ট হচ্ছে, কী করব?</t>
  </si>
  <si>
    <t xml:space="preserve">Q046</t>
  </si>
  <si>
    <t xml:space="preserve">বীজতলায় চারা হলুদ হয়ে গেলে কী করব?</t>
  </si>
  <si>
    <t xml:space="preserve">Q047</t>
  </si>
  <si>
    <t xml:space="preserve">ওয়ারিশ সনদ কীভাবে নিতে হয়?</t>
  </si>
  <si>
    <t xml:space="preserve">Q048</t>
  </si>
  <si>
    <t xml:space="preserve">বাচ্চাকে টিকা দিতে হবে, কোথায় নেব?</t>
  </si>
  <si>
    <t xml:space="preserve">Q049</t>
  </si>
  <si>
    <t xml:space="preserve">আমার ভিজিএফ কার্ডের আইডি ৩৩৪৫৬৭, অবস্থা জানতে চাই।</t>
  </si>
  <si>
    <t xml:space="preserve">{"service": "ভিজিএফ কার্ড", "id": "334567"}</t>
  </si>
  <si>
    <t xml:space="preserve">Q050</t>
  </si>
  <si>
    <t xml:space="preserve">কৃষকের জন্য সরকারি সার ও বীজ সহায়তা কীভাবে পাওয়া যায়?</t>
  </si>
  <si>
    <t xml:space="preserve">Q051</t>
  </si>
  <si>
    <t xml:space="preserve">ভোটার তালিকায় নাম তোলার জন্য কী কী লাগে?</t>
  </si>
  <si>
    <t xml:space="preserve">Q052</t>
  </si>
  <si>
    <t xml:space="preserve">পানি ফুটিয়ে না খেলে কী কী রোগ হতে পারে?</t>
  </si>
  <si>
    <t xml:space="preserve">Q053</t>
  </si>
  <si>
    <t xml:space="preserve">কুয়াশায় নৌকা বা লঞ্চ চলাচলে কী সতর্কতা দরকার?</t>
  </si>
  <si>
    <t xml:space="preserve">Q054</t>
  </si>
  <si>
    <t xml:space="preserve">আগামী বছর বন্যা হবে কি না বলুন।</t>
  </si>
  <si>
    <t xml:space="preserve">Q055</t>
  </si>
  <si>
    <t xml:space="preserve">কেউ বিষ খেয়ে ফেলেছে, এখন কী করা উচিত?</t>
  </si>
  <si>
    <t xml:space="preserve">Q056</t>
  </si>
  <si>
    <t xml:space="preserve">বাচ্চার কাশি হলে কখন ডাক্তারের কাছে যাওয়া উচিত?</t>
  </si>
  <si>
    <t xml:space="preserve">Q057</t>
  </si>
  <si>
    <t xml:space="preserve">ঘূর্ণিঝড়ের সংকেত দেখলে কী কী জিনিস সঙ্গে নিয়ে আশ্রয়কেন্দ্রে যাওয়া উচিত?</t>
  </si>
  <si>
    <t xml:space="preserve">Q058</t>
  </si>
  <si>
    <t xml:space="preserve">শৈত্যপ্রবাহে বাচ্চা ও বৃদ্ধদের কীভাবে গরম রাখব?</t>
  </si>
  <si>
    <t xml:space="preserve">Q059</t>
  </si>
  <si>
    <t xml:space="preserve">মাতৃত্বকালীন ভাতা কারা পান?</t>
  </si>
  <si>
    <t xml:space="preserve">Q060</t>
  </si>
  <si>
    <t xml:space="preserve">গর্ভবতী মায়ের প্রচণ্ড রক্তপাত হচ্ছে, কী করব?</t>
  </si>
  <si>
    <t xml:space="preserve">Q061</t>
  </si>
  <si>
    <t xml:space="preserve">আগামীকাল ভোলায় আবহাওয়া কেমন থাকবে?</t>
  </si>
  <si>
    <t xml:space="preserve">{"location": "ভোলা", "date": "আগামীকাল"}</t>
  </si>
  <si>
    <t xml:space="preserve">Q062</t>
  </si>
  <si>
    <t xml:space="preserve">মাছ চাষের পুকুরে কখন চুন দিতে হয়?</t>
  </si>
  <si>
    <t xml:space="preserve">Q063</t>
  </si>
  <si>
    <t xml:space="preserve">ইউনিয়ন ডিজিটাল সেন্টারে কী কী সেবা পাওয়া যায়?</t>
  </si>
  <si>
    <t xml:space="preserve">Q064</t>
  </si>
  <si>
    <t xml:space="preserve">আমার প্রতিবেশী ভাতা পাচ্ছে কিন্তু আমি পাচ্ছি না কেন?</t>
  </si>
  <si>
    <t xml:space="preserve">Q065</t>
  </si>
  <si>
    <t xml:space="preserve">নাটোরে আমের বাজারদর এখন কেমন?</t>
  </si>
  <si>
    <t xml:space="preserve">{"crop": "আম", "district": "নাটোর"}</t>
  </si>
  <si>
    <t xml:space="preserve">Q066</t>
  </si>
  <si>
    <t xml:space="preserve">বর্ষায় গবাদিপশুর খাবারে কী কী সতর্কতা দরকার?</t>
  </si>
  <si>
    <t xml:space="preserve">Q067</t>
  </si>
  <si>
    <t xml:space="preserve">বাগেরহাট সদর উপজেলায় শিশুদের টিকা কোথায় দেওয়া হয়?</t>
  </si>
  <si>
    <t xml:space="preserve">{"upazila": "বাগেরহাট সদর", "service": "শিশু টিকা"}</t>
  </si>
  <si>
    <t xml:space="preserve">Q068</t>
  </si>
  <si>
    <t xml:space="preserve">মাদারীপুরে আজ পেঁয়াজের দাম কত?</t>
  </si>
  <si>
    <t xml:space="preserve">{"crop": "পেঁয়াজ", "district": "মাদারীপুর"}</t>
  </si>
  <si>
    <t xml:space="preserve">Q069</t>
  </si>
  <si>
    <t xml:space="preserve">আমার জমিতে এ বছর কত ফলন হবে আগে থেকেই বলে দিন।</t>
  </si>
  <si>
    <t xml:space="preserve">Q070</t>
  </si>
  <si>
    <t xml:space="preserve">সরকার কবে সারের দাম কমাবে?</t>
  </si>
  <si>
    <t xml:space="preserve">Q071</t>
  </si>
  <si>
    <t xml:space="preserve">কয়দিন বৃষ্টি চলবে?</t>
  </si>
  <si>
    <t xml:space="preserve">Q072</t>
  </si>
  <si>
    <t xml:space="preserve">আজ নাটোরে বৃষ্টির সম্ভাবনা আছে?</t>
  </si>
  <si>
    <t xml:space="preserve">{"location": "নাটোর", "date": "আজ"}</t>
  </si>
  <si>
    <t xml:space="preserve">Q073</t>
  </si>
  <si>
    <t xml:space="preserve">আমার ডায়াবেটিসের ওষুধ বদলে অন্য কোন ওষুধ খাব?</t>
  </si>
  <si>
    <t xml:space="preserve">Q074</t>
  </si>
  <si>
    <t xml:space="preserve">আগামী তিন মাসে কোন কোন দিন ঝড় হবে?</t>
  </si>
  <si>
    <t xml:space="preserve">Q075</t>
  </si>
  <si>
    <t xml:space="preserve">মাঠে যাওয়া ঠিক হবে?</t>
  </si>
  <si>
    <t xml:space="preserve">Q076</t>
  </si>
  <si>
    <t xml:space="preserve">আমার কার্ডের খবর কী?</t>
  </si>
  <si>
    <t xml:space="preserve">Q077</t>
  </si>
  <si>
    <t xml:space="preserve">খরার সময় কম পানিতে চাষ করার কী উপায় আছে?</t>
  </si>
  <si>
    <t xml:space="preserve">Q078</t>
  </si>
  <si>
    <t xml:space="preserve">গর্ভবতী মায়ের কী কী খাবার খাওয়া দরকার?</t>
  </si>
  <si>
    <t xml:space="preserve">Q079</t>
  </si>
  <si>
    <t xml:space="preserve">এখন কোন সার দেব?</t>
  </si>
  <si>
    <t xml:space="preserve">Q080</t>
  </si>
  <si>
    <t xml:space="preserve">আমার পাসপোর্ট আবেদনের নম্বর ৯১২৩৪৫, অবস্থা কী?</t>
  </si>
  <si>
    <t xml:space="preserve">{"service": "পাসপোর্ট", "id": "912345"}</t>
  </si>
  <si>
    <t xml:space="preserve">Q081</t>
  </si>
  <si>
    <t xml:space="preserve">গরমে হিটস্ট্রোক হলে প্রাথমিক করণীয় কী?</t>
  </si>
  <si>
    <t xml:space="preserve">Q082</t>
  </si>
  <si>
    <t xml:space="preserve">শনিবার সিলেটে আবহাওয়া কেমন থাকবে?</t>
  </si>
  <si>
    <t xml:space="preserve">{"location": "সিলেট", "date": "শনিবার"}</t>
  </si>
  <si>
    <t xml:space="preserve">Q083</t>
  </si>
  <si>
    <t xml:space="preserve">বর্ষায় সবজি খেতে পানি জমলে কী করব?</t>
  </si>
  <si>
    <t xml:space="preserve">Q084</t>
  </si>
  <si>
    <t xml:space="preserve">বদরগঞ্জ উপজেলায় সবচেয়ে কাছের উপজেলা স্বাস্থ্য কমপ্লেক্স কোথায়?</t>
  </si>
  <si>
    <t xml:space="preserve">{"upazila": "বদরগঞ্জ", "service": "উপজেলা স্বাস্থ্য কমপ্লেক্স"}</t>
  </si>
  <si>
    <t xml:space="preserve">Q085</t>
  </si>
  <si>
    <t xml:space="preserve">আমার মায়ের কিডনির রোগ কত দিনে সারবে?</t>
  </si>
  <si>
    <t xml:space="preserve">Q086</t>
  </si>
  <si>
    <t xml:space="preserve">ডেঙ্গু জ্বর থেকে বাঁচতে কী করা উচিত?</t>
  </si>
  <si>
    <t xml:space="preserve">Q087</t>
  </si>
  <si>
    <t xml:space="preserve">বাতাস কি বাড়বে?</t>
  </si>
  <si>
    <t xml:space="preserve">Q088</t>
  </si>
  <si>
    <t xml:space="preserve">টিসিবির কার্ড কারা পায়?</t>
  </si>
  <si>
    <t xml:space="preserve">Q089</t>
  </si>
  <si>
    <t xml:space="preserve">নদীভাঙনের আগাম লক্ষণ কী কী?</t>
  </si>
  <si>
    <t xml:space="preserve">Q090</t>
  </si>
  <si>
    <t xml:space="preserve">বৃষ্টির পানি ধরে রেখে কীভাবে ব্যবহার করা যায়?</t>
  </si>
  <si>
    <t xml:space="preserve">Q091</t>
  </si>
  <si>
    <t xml:space="preserve">গমের বীজ বোনার উপযুক্ত সময় কখন?</t>
  </si>
  <si>
    <t xml:space="preserve">Q092</t>
  </si>
  <si>
    <t xml:space="preserve">আমার জমির মাটিতে ঠিক কী কী পুষ্টি কম আছে?</t>
  </si>
  <si>
    <t xml:space="preserve">Q093</t>
  </si>
  <si>
    <t xml:space="preserve">জমির খতিয়ান অনলাইনে কীভাবে দেখা যায়?</t>
  </si>
  <si>
    <t xml:space="preserve">Q094</t>
  </si>
  <si>
    <t xml:space="preserve">বাচ্চার প্রচণ্ড জ্বর আর ঘাড় শক্ত হয়ে গেছে, এখন কী করব?</t>
  </si>
  <si>
    <t xml:space="preserve">Q095</t>
  </si>
  <si>
    <t xml:space="preserve">আমার প্রতিবেশী কেন আমার চেয়ে বেশি ফলন পায়?</t>
  </si>
  <si>
    <t xml:space="preserve">Q096</t>
  </si>
  <si>
    <t xml:space="preserve">আগামী ঈদে কি বৃষ্টি হবে?</t>
  </si>
  <si>
    <t xml:space="preserve">Q097</t>
  </si>
  <si>
    <t xml:space="preserve">আজ কি নৌকা নিয়ে বের হওয়া যাবে?</t>
  </si>
  <si>
    <t xml:space="preserve">Q098</t>
  </si>
  <si>
    <t xml:space="preserve">পাট পচানোর সঠিক নিয়ম কী?</t>
  </si>
  <si>
    <t xml:space="preserve">Q099</t>
  </si>
  <si>
    <t xml:space="preserve">রংপুরে আজ আলুর দাম কত?</t>
  </si>
  <si>
    <t xml:space="preserve">{"crop": "আলু", "district": "রংপুর"}</t>
  </si>
  <si>
    <t xml:space="preserve">Q100</t>
  </si>
  <si>
    <t xml:space="preserve">আমার মাতৃত্বকালীন ভাতার আইডি ২৪৫৬৭৮, অবস্থা জানাও।</t>
  </si>
  <si>
    <t xml:space="preserve">{"service": "মাতৃত্বকালীন ভাতা", "id": "245678"}</t>
  </si>
  <si>
    <t xml:space="preserve">Q101</t>
  </si>
  <si>
    <t xml:space="preserve">হাঁস-মুরগির রোগ থেকে বাঁচাতে টিকা কখন দিতে হয়?</t>
  </si>
  <si>
    <t xml:space="preserve">Q102</t>
  </si>
  <si>
    <t xml:space="preserve">আমার ছেলে কি সরকারি চাকরি পাবে?</t>
  </si>
  <si>
    <t xml:space="preserve">Q103</t>
  </si>
  <si>
    <t xml:space="preserve">ঝড়ের সময় ঘরে থাকলে কোথায় থাকা নিরাপদ?</t>
  </si>
  <si>
    <t xml:space="preserve">Q104</t>
  </si>
  <si>
    <t xml:space="preserve">লালমোহন উপজেলায় পরিবার পরিকল্পনা সেবা কোথায় পাওয়া যায়?</t>
  </si>
  <si>
    <t xml:space="preserve">{"upazila": "লালমোহন", "service": "পরিবার পরিকল্পনা"}</t>
  </si>
  <si>
    <t xml:space="preserve">Q105</t>
  </si>
  <si>
    <t xml:space="preserve">হাত ধোয়ার সঠিক নিয়ম কী?</t>
  </si>
  <si>
    <t xml:space="preserve">Q106</t>
  </si>
  <si>
    <t xml:space="preserve">শিশুকে কত মাস পর্যন্ত শুধু বুকের দুধ খাওয়াতে হয়?</t>
  </si>
  <si>
    <t xml:space="preserve">Q107</t>
  </si>
  <si>
    <t xml:space="preserve">আমার বাবা হঠাৎ কথা বলতে পারছে না আর এক পাশ অবশ হয়ে গেছে, কী করব?</t>
  </si>
  <si>
    <t xml:space="preserve">Q108</t>
  </si>
  <si>
    <t xml:space="preserve">বর্ষা কত তারিখে শেষ হবে?</t>
  </si>
  <si>
    <t xml:space="preserve">Q109</t>
  </si>
  <si>
    <t xml:space="preserve">বাচ্চার শ্বাস নিতে খুব কষ্ট হচ্ছে, ঠোঁট নীল হয়ে যাচ্ছে।</t>
  </si>
  <si>
    <t xml:space="preserve">Q110</t>
  </si>
  <si>
    <t xml:space="preserve">মা-কে হাসপাতালে নিতে হবে, কোনটা কাছে?</t>
  </si>
  <si>
    <t xml:space="preserve">Q111</t>
  </si>
  <si>
    <t xml:space="preserve">জৈব সার কীভাবে বানানো যায়?</t>
  </si>
  <si>
    <t xml:space="preserve">Q112</t>
  </si>
  <si>
    <t xml:space="preserve">আমার খতিয়ান আবেদন নম্বর ৫৫১২৩৪, অবস্থা কী?</t>
  </si>
  <si>
    <t xml:space="preserve">{"service": "খতিয়ান", "id": "551234"}</t>
  </si>
  <si>
    <t xml:space="preserve">Q113</t>
  </si>
  <si>
    <t xml:space="preserve">আমার ফাইলটা কোথায় আটকে আছে?</t>
  </si>
  <si>
    <t xml:space="preserve">Q114</t>
  </si>
  <si>
    <t xml:space="preserve">ইউনিয়ন পরিষদে ট্রেড লাইসেন্স কীভাবে করা যায়?</t>
  </si>
  <si>
    <t xml:space="preserve">Q115</t>
  </si>
  <si>
    <t xml:space="preserve">সবজির কী দাম?</t>
  </si>
  <si>
    <t xml:space="preserve">Q116</t>
  </si>
  <si>
    <t xml:space="preserve">আজ চরফ্যাশনে ঝড়ের সতর্কতা আছে কি?</t>
  </si>
  <si>
    <t xml:space="preserve">{"location": "চরফ্যাশন", "date": "আজ"}</t>
  </si>
  <si>
    <t xml:space="preserve">Q117</t>
  </si>
  <si>
    <t xml:space="preserve">ই-পর্চা কী এবং কীভাবে পাওয়া যায়?</t>
  </si>
  <si>
    <t xml:space="preserve">Q118</t>
  </si>
  <si>
    <t xml:space="preserve">বরিশালে এখন পেয়ারার বাজারদর কত?</t>
  </si>
  <si>
    <t xml:space="preserve">{"crop": "পেয়ারা", "district": "বরিশাল"}</t>
  </si>
  <si>
    <t xml:space="preserve">Q119</t>
  </si>
  <si>
    <t xml:space="preserve">ছাত্রছাত্রীদের উপবৃত্তি কীভাবে পাওয়া যায়?</t>
  </si>
  <si>
    <t xml:space="preserve">Q120</t>
  </si>
  <si>
    <t xml:space="preserve">জন্ম সনদ সংশোধন করতে কী করতে হয়?</t>
  </si>
  <si>
    <t xml:space="preserve">Q121</t>
  </si>
  <si>
    <t xml:space="preserve">বন্যার সময় বিশুদ্ধ পানি কীভাবে পাওয়া যায়?</t>
  </si>
  <si>
    <t xml:space="preserve">Q122</t>
  </si>
  <si>
    <t xml:space="preserve">ভোলায় আজ কাঁচা মরিচের দাম কত?</t>
  </si>
  <si>
    <t xml:space="preserve">{"crop": "কাঁচা মরিচ", "district": "ভোলা"}</t>
  </si>
  <si>
    <t xml:space="preserve">Q123</t>
  </si>
  <si>
    <t xml:space="preserve">আমার জমির মালিকানা নিয়ে আদালতে কত দিন লাগবে?</t>
  </si>
  <si>
    <t xml:space="preserve">Q124</t>
  </si>
  <si>
    <t xml:space="preserve">আজ বাইরে কাজ করা যাবে?</t>
  </si>
  <si>
    <t xml:space="preserve">Q125</t>
  </si>
  <si>
    <t xml:space="preserve">পুকুরে মাছ মরে ভেসে উঠলে কী করব?</t>
  </si>
  <si>
    <t xml:space="preserve">Q126</t>
  </si>
  <si>
    <t xml:space="preserve">এ বছর ঘূর্ণিঝড় কয়টা হবে?</t>
  </si>
  <si>
    <t xml:space="preserve">Q127</t>
  </si>
  <si>
    <t xml:space="preserve">ভোটার আইডি কার্ডে ভুল নাম সংশোধন করতে কী করতে হয়?</t>
  </si>
  <si>
    <t xml:space="preserve">Q128</t>
  </si>
  <si>
    <t xml:space="preserve">সবজির পোকা দমনে জৈব উপায় কী?</t>
  </si>
  <si>
    <t xml:space="preserve">Q129</t>
  </si>
  <si>
    <t xml:space="preserve">সার কত টাকা বস্তা?</t>
  </si>
  <si>
    <t xml:space="preserve">Q130</t>
  </si>
  <si>
    <t xml:space="preserve">আমার চোখের ছানি অপারেশন কোথায় সবচেয়ে সস্তায় হবে?</t>
  </si>
  <si>
    <t xml:space="preserve">Q131</t>
  </si>
  <si>
    <t xml:space="preserve">আজ বরিশালে জোয়ারের সম্ভাবনা আছে কি?</t>
  </si>
  <si>
    <t xml:space="preserve">{"location": "বরিশাল", "date": "আজ"}</t>
  </si>
  <si>
    <t xml:space="preserve">Q132</t>
  </si>
  <si>
    <t xml:space="preserve">বাচ্চা কেরোসিন খেয়ে ফেলেছে, কী করব?</t>
  </si>
  <si>
    <t xml:space="preserve">Q133</t>
  </si>
  <si>
    <t xml:space="preserve">ঝড়ে গাছ ভেঙে পড়লে বা বিদ্যুতের তার ছিঁড়লে কী করা উচিত?</t>
  </si>
  <si>
    <t xml:space="preserve">Q134</t>
  </si>
  <si>
    <t xml:space="preserve">আগুনে পুড়ে গেছে, অনেকটা জায়গা, এখন কী করব?</t>
  </si>
  <si>
    <t xml:space="preserve">Q135</t>
  </si>
  <si>
    <t xml:space="preserve">কৃমি থেকে বাঁচতে কী করব?</t>
  </si>
  <si>
    <t xml:space="preserve">Q136</t>
  </si>
  <si>
    <t xml:space="preserve">কুকুরে কামড়ে দিয়েছে, এখন কী করব?</t>
  </si>
  <si>
    <t xml:space="preserve">Q137</t>
  </si>
  <si>
    <t xml:space="preserve">আমার প্রতিবন্ধী ভাতার আইডি ৪৪৫৫৬৬, কবে টাকা আসবে?</t>
  </si>
  <si>
    <t xml:space="preserve">{"service": "প্রতিবন্ধী ভাতা", "id": "445566"}</t>
  </si>
  <si>
    <t xml:space="preserve">Q138</t>
  </si>
  <si>
    <t xml:space="preserve">লবণাক্ত পানি ঢুকলে কৃষিজমিতে কী করা যায়?</t>
  </si>
  <si>
    <t xml:space="preserve">Q139</t>
  </si>
  <si>
    <t xml:space="preserve">আমার কাগজ জমা দিয়েছি, কী হলো?</t>
  </si>
  <si>
    <t xml:space="preserve">Q140</t>
  </si>
  <si>
    <t xml:space="preserve">আগামী বছর কোন ফসলে বেশি দাম পাওয়া যাবে?</t>
  </si>
  <si>
    <t xml:space="preserve">Q141</t>
  </si>
  <si>
    <t xml:space="preserve">আগামীকাল রাজশাহীতে তাপমাত্রা কেমন থাকবে?</t>
  </si>
  <si>
    <t xml:space="preserve">{"location": "রাজশাহী", "date": "আগামীকাল"}</t>
  </si>
  <si>
    <t xml:space="preserve">Q142</t>
  </si>
  <si>
    <t xml:space="preserve">কৃষি ঋণ পেতে কী কী কাগজ লাগে?</t>
  </si>
  <si>
    <t xml:space="preserve">Q143</t>
  </si>
  <si>
    <t xml:space="preserve">ডায়রিয়া হলে কখন হাসপাতালে নিতে হবে?</t>
  </si>
  <si>
    <t xml:space="preserve">Q144</t>
  </si>
  <si>
    <t xml:space="preserve">বাচ্চার সর্দি-কাশি হলে কী কী ঘরোয়া যত্ন নেওয়া যায়?</t>
  </si>
  <si>
    <t xml:space="preserve">Q145</t>
  </si>
  <si>
    <t xml:space="preserve">দুধ বাড়াতে গরুকে কী খাওয়ানো ভালো?</t>
  </si>
  <si>
    <t xml:space="preserve">Q146</t>
  </si>
  <si>
    <t xml:space="preserve">প্রতিবন্ধী ভাতার জন্য কীভাবে আবেদন করব?</t>
  </si>
  <si>
    <t xml:space="preserve">Q147</t>
  </si>
  <si>
    <t xml:space="preserve">আমগাছে মুকুল আসার সময় কী যত্ন নিতে হয়?</t>
  </si>
  <si>
    <t xml:space="preserve">Q148</t>
  </si>
  <si>
    <t xml:space="preserve">শীতে শিশুদের নিউমোনিয়া থেকে বাঁচাতে কী করা উচিত?</t>
  </si>
  <si>
    <t xml:space="preserve">Q149</t>
  </si>
  <si>
    <t xml:space="preserve">টিকা কবে দেবে?</t>
  </si>
  <si>
    <t xml:space="preserve">Q150</t>
  </si>
  <si>
    <t xml:space="preserve">মেহেন্দিগঞ্জ উপজেলায় সবচেয়ে কাছের হাসপাতাল কোথায়?</t>
  </si>
  <si>
    <t xml:space="preserve">{"upazila": "মেহেন্দিগঞ্জ", "service": "হাসপাতাল"}</t>
  </si>
  <si>
    <t xml:space="preserve">Q151</t>
  </si>
  <si>
    <t xml:space="preserve">আমার এনআইডি সংশোধনের আবেদন নম্বর ৬১২৩৪৫, অবস্থা কী?</t>
  </si>
  <si>
    <t xml:space="preserve">{"service": "এনআইডি সংশোধন", "id": "612345"}</t>
  </si>
  <si>
    <t xml:space="preserve">Q152</t>
  </si>
  <si>
    <t xml:space="preserve">বিধবা ভাতা ও বয়স্ক ভাতার মধ্যে পার্থক্য কী?</t>
  </si>
  <si>
    <t xml:space="preserve">Q153</t>
  </si>
  <si>
    <t xml:space="preserve">আমার কৃষিঋণ মওকুফ হবে কি?</t>
  </si>
  <si>
    <t xml:space="preserve">Q154</t>
  </si>
  <si>
    <t xml:space="preserve">সিংড়া উপজেলায় শিশু টিকা কোথায় দেওয়া হয়?</t>
  </si>
  <si>
    <t xml:space="preserve">{"upazila": "সিংড়া", "service": "শিশু টিকা"}</t>
  </si>
  <si>
    <t xml:space="preserve">Q155</t>
  </si>
  <si>
    <t xml:space="preserve">ড্রাইভিং লাইসেন্স করতে কী কী লাগে?</t>
  </si>
  <si>
    <t xml:space="preserve">Q156</t>
  </si>
  <si>
    <t xml:space="preserve">আগামী বছর কত বৃষ্টি হবে?</t>
  </si>
  <si>
    <t xml:space="preserve">Q157</t>
  </si>
  <si>
    <t xml:space="preserve">ধান কাটার পর কীভাবে শুকাতে ও সংরক্ষণ করতে হয়?</t>
  </si>
  <si>
    <t xml:space="preserve">Q158</t>
  </si>
  <si>
    <t xml:space="preserve">ঝড়ের খবর কী?</t>
  </si>
  <si>
    <t xml:space="preserve">Q159</t>
  </si>
  <si>
    <t xml:space="preserve">নওগাঁয় ধানের দাম এখন কত?</t>
  </si>
  <si>
    <t xml:space="preserve">{"crop": "ধান", "district": "নওগাঁ"}</t>
  </si>
  <si>
    <t xml:space="preserve">Q160</t>
  </si>
  <si>
    <t xml:space="preserve">ইউনিয়ন পরিষদের চেয়ারম্যানের কাছে কী কী সেবা পাওয়া যায়?</t>
  </si>
  <si>
    <t xml:space="preserve">Q161</t>
  </si>
  <si>
    <t xml:space="preserve">খুব বেশি জ্বর, শরীরে লাল দাগ আর বমি হচ্ছে, কী করব?</t>
  </si>
  <si>
    <t xml:space="preserve">Q162</t>
  </si>
  <si>
    <t xml:space="preserve">আমার মাঠে ঠিক কত সেন্টিমিটার বৃষ্টি হয়েছে?</t>
  </si>
  <si>
    <t xml:space="preserve">Q163</t>
  </si>
  <si>
    <t xml:space="preserve">গরমের সময় গবাদিপশুকে ঠান্ডা রাখতে কী করা যায়?</t>
  </si>
  <si>
    <t xml:space="preserve">Q164</t>
  </si>
  <si>
    <t xml:space="preserve">কখন বীজ বুনব?</t>
  </si>
  <si>
    <t xml:space="preserve">Q165</t>
  </si>
  <si>
    <t xml:space="preserve">বয়স্কদের উচ্চ রক্তচাপ থাকলে খাবারে কী কী সতর্কতা নিতে হয়?</t>
  </si>
  <si>
    <t xml:space="preserve">Q166</t>
  </si>
  <si>
    <t xml:space="preserve">জলোচ্ছ্বাসের সময় কী কী সতর্কতা নেওয়া দরকার?</t>
  </si>
  <si>
    <t xml:space="preserve">Q167</t>
  </si>
  <si>
    <t xml:space="preserve">বৃষ্টির মধ্যে মোবাইল ও বিদ্যুতের জিনিস কীভাবে নিরাপদে ব্যবহার করব?</t>
  </si>
  <si>
    <t xml:space="preserve">Q168</t>
  </si>
  <si>
    <t xml:space="preserve">আমার ট্রেড লাইসেন্সের আবেদন নম্বর ৮৮২১১৩, অবস্থা কী?</t>
  </si>
  <si>
    <t xml:space="preserve">{"service": "ট্রেড লাইসেন্স", "id": "882113"}</t>
  </si>
  <si>
    <t xml:space="preserve">Q169</t>
  </si>
  <si>
    <t xml:space="preserve">রাজশাহীতে আজ বেগুনের দাম কত?</t>
  </si>
  <si>
    <t xml:space="preserve">{"crop": "বেগুন", "district": "রাজশাহী"}</t>
  </si>
  <si>
    <t xml:space="preserve">Q170</t>
  </si>
  <si>
    <t xml:space="preserve">ধানের জমিতে আগাছা দমনে কী করা উচিত?</t>
  </si>
  <si>
    <t xml:space="preserve">Q171</t>
  </si>
  <si>
    <t xml:space="preserve">জন্মনিবন্ধন অনলাইনে কীভাবে করতে হয়?</t>
  </si>
  <si>
    <t xml:space="preserve">Q172</t>
  </si>
  <si>
    <t xml:space="preserve">ভিজিডি কার্ডের জন্য কীভাবে আবেদন করব?</t>
  </si>
  <si>
    <t xml:space="preserve">Q173</t>
  </si>
  <si>
    <t xml:space="preserve">আমি কোন ব্যাংক থেকে সবচেয়ে কম সুদে ঋণ পাব?</t>
  </si>
  <si>
    <t xml:space="preserve">Q174</t>
  </si>
  <si>
    <t xml:space="preserve">গর্ভাবস্থায় কখন কখন চেকআপ করানো দরকার?</t>
  </si>
  <si>
    <t xml:space="preserve">Q175</t>
  </si>
  <si>
    <t xml:space="preserve">সরকার কবে নতুন ভাতার ঘোষণা দেবে?</t>
  </si>
  <si>
    <t xml:space="preserve">Q176</t>
  </si>
  <si>
    <t xml:space="preserve">মৃত্যুনিবন্ধন সনদ কীভাবে নিতে হয়?</t>
  </si>
  <si>
    <t xml:space="preserve">Q177</t>
  </si>
  <si>
    <t xml:space="preserve">বাবুগঞ্জ উপজেলায় কমিউনিটি ক্লিনিক কোথায়?</t>
  </si>
  <si>
    <t xml:space="preserve">{"upazila": "বাবুগঞ্জ", "service": "কমিউনিটি ক্লিনিক"}</t>
  </si>
  <si>
    <t xml:space="preserve">Q178</t>
  </si>
  <si>
    <t xml:space="preserve">শিশুর ওজন কম হলে কী খাওয়াতে হবে?</t>
  </si>
  <si>
    <t xml:space="preserve">Q179</t>
  </si>
  <si>
    <t xml:space="preserve">ঝড়ের পর বাড়ি ও খেত পরিদর্শনে কী কী লক্ষ্য রাখব?</t>
  </si>
  <si>
    <t xml:space="preserve">Q180</t>
  </si>
  <si>
    <t xml:space="preserve">আমার বাচ্চার জ্বর হয়েছে, ডাক্তারের কাছে যাব কোথায়?</t>
  </si>
  <si>
    <t xml:space="preserve">Q181</t>
  </si>
  <si>
    <t xml:space="preserve">পরশু নাটোরে আবহাওয়া কেমন থাকবে?</t>
  </si>
  <si>
    <t xml:space="preserve">{"location": "নাটোর", "date": "পরশু"}</t>
  </si>
  <si>
    <t xml:space="preserve">Q182</t>
  </si>
  <si>
    <t xml:space="preserve">আমার ভিজিডি কার্ডের আইডি ১১২২৩৩, অবস্থা জানতে চাই।</t>
  </si>
  <si>
    <t xml:space="preserve">{"service": "ভিজিডি কার্ড", "id": "112233"}</t>
  </si>
  <si>
    <t xml:space="preserve">Q183</t>
  </si>
  <si>
    <t xml:space="preserve">শীতকালীন সবজি কোন সময় লাগানো ভালো?</t>
  </si>
  <si>
    <t xml:space="preserve">Q184</t>
  </si>
  <si>
    <t xml:space="preserve">মাছের পুকুরে অক্সিজেন কমে গেলে কী করব?</t>
  </si>
  <si>
    <t xml:space="preserve">Q185</t>
  </si>
  <si>
    <t xml:space="preserve">পটুয়াখালীতে আজ চালের দাম কত?</t>
  </si>
  <si>
    <t xml:space="preserve">{"crop": "চাল", "district": "পটুয়াখালী"}</t>
  </si>
  <si>
    <t xml:space="preserve">Q186</t>
  </si>
  <si>
    <t xml:space="preserve">কেউ অজ্ঞান হয়ে গেছে, ডাকলে সাড়া দিচ্ছে না।</t>
  </si>
  <si>
    <t xml:space="preserve">Q187</t>
  </si>
  <si>
    <t xml:space="preserve">আমার সনদটা এখনও আসেনি।</t>
  </si>
  <si>
    <t xml:space="preserve">Q188</t>
  </si>
  <si>
    <t xml:space="preserve">কাল ঝড় হবে নাকি?</t>
  </si>
  <si>
    <t xml:space="preserve">Q189</t>
  </si>
  <si>
    <t xml:space="preserve">আজ রংপুরে কুয়াশা কেমন থাকবে?</t>
  </si>
  <si>
    <t xml:space="preserve">Q190</t>
  </si>
  <si>
    <t xml:space="preserve">সুন্দরগঞ্জ উপজেলায় দাঁতের চিকিৎসা কোথায় পাওয়া যায়?</t>
  </si>
  <si>
    <t xml:space="preserve">{"upazila": "সুন্দরগঞ্জ", "service": "দাঁতের চিকিৎসা"}</t>
  </si>
  <si>
    <t xml:space="preserve">Q191</t>
  </si>
  <si>
    <t xml:space="preserve">আমার এলাকায় কখন বৃষ্টি হবে?</t>
  </si>
  <si>
    <t xml:space="preserve">Q192</t>
  </si>
  <si>
    <t xml:space="preserve">কচুরিপানা কীভাবে দমন করা যায়?</t>
  </si>
  <si>
    <t xml:space="preserve">Q193</t>
  </si>
  <si>
    <t xml:space="preserve">১০ বছর পরে আমাদের এলাকার আবহাওয়া কেমন হবে?</t>
  </si>
  <si>
    <t xml:space="preserve">Q194</t>
  </si>
  <si>
    <t xml:space="preserve">আমার বাচ্চার জন্মগত সমস্যা কি কখনো ভালো হবে?</t>
  </si>
  <si>
    <t xml:space="preserve">Q195</t>
  </si>
  <si>
    <t xml:space="preserve">কোন সারের কারখানা সবচেয়ে ভালো সার বানায়?</t>
  </si>
  <si>
    <t xml:space="preserve">Q196</t>
  </si>
  <si>
    <t xml:space="preserve">ভূমি উন্নয়ন কর কীভাবে দিতে হয়?</t>
  </si>
  <si>
    <t xml:space="preserve">Q197</t>
  </si>
  <si>
    <t xml:space="preserve">মা সন্তান প্রসবের পরে অনেক রক্ত যাচ্ছে।</t>
  </si>
  <si>
    <t xml:space="preserve">Q198</t>
  </si>
  <si>
    <t xml:space="preserve">ইউনিয়ন পরিষদ থেকে চারিত্রিক সনদ কীভাবে পাব?</t>
  </si>
  <si>
    <t xml:space="preserve">Q199</t>
  </si>
  <si>
    <t xml:space="preserve">ছাগলের পিপিআর রোগের লক্ষণ ও প্রতিরোধ কী?</t>
  </si>
  <si>
    <t xml:space="preserve">Q200</t>
  </si>
  <si>
    <t xml:space="preserve">উপজেলা কৃষি অফিস থেকে কৃষক কী কী সহায়তা পায়?</t>
  </si>
  <si>
    <t xml:space="preserve">arguments</t>
  </si>
  <si>
    <t xml:space="preserve">returns (mock)</t>
  </si>
  <si>
    <t xml:space="preserve">notes</t>
  </si>
  <si>
    <t xml:space="preserve">upazila, service</t>
  </si>
  <si>
    <t xml:space="preserve">clinic name, address, open hours</t>
  </si>
  <si>
    <t xml:space="preserve">Mock lookup table. Never gives diagnosis or dose; high_risk queries must refer to nearest clinic / emergency care.</t>
  </si>
  <si>
    <t xml:space="preserve">crop, district</t>
  </si>
  <si>
    <t xml:space="preserve">price per unit, date</t>
  </si>
  <si>
    <t xml:space="preserve">Mock price table.</t>
  </si>
  <si>
    <t xml:space="preserve">location, date</t>
  </si>
  <si>
    <t xml:space="preserve">rain chance, temperature, warnings</t>
  </si>
  <si>
    <t xml:space="preserve">Mock forecast table.</t>
  </si>
  <si>
    <t xml:space="preserve">service, id</t>
  </si>
  <si>
    <t xml:space="preserve">status, next step</t>
  </si>
  <si>
    <t xml:space="preserve">Mock status table keyed by service + id.</t>
  </si>
  <si>
    <t xml:space="preserve">Type distribution (target in column C)</t>
  </si>
  <si>
    <t xml:space="preserve">count</t>
  </si>
  <si>
    <t xml:space="preserve">target</t>
  </si>
  <si>
    <t xml:space="preserve">ok?</t>
  </si>
  <si>
    <t xml:space="preserve">total</t>
  </si>
  <si>
    <t xml:space="preserve">Dialect progress (rows done by a native speaker)</t>
  </si>
  <si>
    <t xml:space="preserve">dialect</t>
  </si>
  <si>
    <t xml:space="preserve">native_corrected</t>
  </si>
  <si>
    <t xml:space="preserve">native_written</t>
  </si>
  <si>
    <t xml:space="preserve">native total</t>
  </si>
  <si>
    <t xml:space="preserve">claude_draft only</t>
  </si>
  <si>
    <t xml:space="preserve">completion %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</si>
</sst>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%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Arial"/>
      <family val="0"/>
      <charset val="1"/>
    </font>
    <font>
      <sz val="10"/>
      <name val="Arial"/>
      <family val="0"/>
      <charset val="1"/>
    </font>
    <font>
      <sz val="11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548235"/>
        <bgColor rgb="FF808080"/>
      </patternFill>
    </fill>
    <fill>
      <patternFill patternType="solid">
        <fgColor rgb="FF7F6000"/>
        <bgColor rgb="FF993300"/>
      </patternFill>
    </fill>
    <fill>
      <patternFill patternType="solid">
        <fgColor rgb="FFFFF2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548235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7F6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7F6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548235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00"/>
  </cols>
  <sheetData>
    <row r="1" customFormat="false" ht="15" hidden="false" customHeight="false" outlineLevel="0" collapsed="false">
      <c r="A1" s="1" t="s">
        <v>0</v>
      </c>
      <c r="B1" s="2"/>
    </row>
    <row r="2" customFormat="false" ht="15" hidden="false" customHeight="false" outlineLevel="0" collapsed="false">
      <c r="A2" s="2" t="s">
        <v>1</v>
      </c>
      <c r="B2" s="2" t="s">
        <v>2</v>
      </c>
    </row>
    <row r="3" customFormat="false" ht="23.85" hidden="false" customHeight="false" outlineLevel="0" collapsed="false">
      <c r="A3" s="2" t="s">
        <v>3</v>
      </c>
      <c r="B3" s="2" t="s">
        <v>4</v>
      </c>
    </row>
    <row r="4" customFormat="false" ht="15" hidden="false" customHeight="false" outlineLevel="0" collapsed="false">
      <c r="A4" s="2" t="s">
        <v>5</v>
      </c>
      <c r="B4" s="2" t="s">
        <v>6</v>
      </c>
    </row>
    <row r="5" customFormat="false" ht="15" hidden="false" customHeight="false" outlineLevel="0" collapsed="false">
      <c r="A5" s="2" t="s">
        <v>7</v>
      </c>
      <c r="B5" s="2" t="s">
        <v>8</v>
      </c>
    </row>
    <row r="6" customFormat="false" ht="23.85" hidden="false" customHeight="false" outlineLevel="0" collapsed="false">
      <c r="A6" s="2" t="s">
        <v>9</v>
      </c>
      <c r="B6" s="2" t="s">
        <v>10</v>
      </c>
    </row>
    <row r="7" customFormat="false" ht="15" hidden="false" customHeight="false" outlineLevel="0" collapsed="false">
      <c r="A7" s="2" t="s">
        <v>11</v>
      </c>
      <c r="B7" s="2" t="s">
        <v>12</v>
      </c>
    </row>
    <row r="8" customFormat="false" ht="15" hidden="false" customHeight="false" outlineLevel="0" collapsed="false">
      <c r="A8" s="2" t="s">
        <v>13</v>
      </c>
      <c r="B8" s="2" t="s">
        <v>14</v>
      </c>
    </row>
    <row r="9" customFormat="false" ht="15" hidden="false" customHeight="false" outlineLevel="0" collapsed="false">
      <c r="A9" s="3"/>
      <c r="B9" s="2"/>
    </row>
    <row r="10" customFormat="false" ht="15" hidden="false" customHeight="false" outlineLevel="0" collapsed="false">
      <c r="A10" s="1" t="s">
        <v>15</v>
      </c>
      <c r="B10" s="2"/>
    </row>
    <row r="11" customFormat="false" ht="15" hidden="false" customHeight="false" outlineLevel="0" collapsed="false">
      <c r="A11" s="2" t="s">
        <v>16</v>
      </c>
      <c r="B11" s="2" t="s">
        <v>17</v>
      </c>
    </row>
    <row r="12" customFormat="false" ht="15" hidden="false" customHeight="false" outlineLevel="0" collapsed="false">
      <c r="A12" s="2" t="s">
        <v>18</v>
      </c>
      <c r="B12" s="2" t="s">
        <v>19</v>
      </c>
    </row>
    <row r="13" customFormat="false" ht="15" hidden="false" customHeight="false" outlineLevel="0" collapsed="false">
      <c r="A13" s="2" t="s">
        <v>20</v>
      </c>
      <c r="B13" s="2" t="s">
        <v>21</v>
      </c>
    </row>
    <row r="14" customFormat="false" ht="15" hidden="false" customHeight="false" outlineLevel="0" collapsed="false">
      <c r="A14" s="3"/>
      <c r="B14" s="2"/>
    </row>
    <row r="15" customFormat="false" ht="15" hidden="false" customHeight="false" outlineLevel="0" collapsed="false">
      <c r="A15" s="1" t="s">
        <v>22</v>
      </c>
      <c r="B15" s="2"/>
    </row>
    <row r="16" customFormat="false" ht="15" hidden="false" customHeight="false" outlineLevel="0" collapsed="false">
      <c r="A16" s="2" t="s">
        <v>23</v>
      </c>
      <c r="B16" s="2" t="s">
        <v>24</v>
      </c>
    </row>
    <row r="17" customFormat="false" ht="15" hidden="false" customHeight="false" outlineLevel="0" collapsed="false">
      <c r="A17" s="2" t="s">
        <v>25</v>
      </c>
      <c r="B17" s="2" t="s">
        <v>26</v>
      </c>
    </row>
    <row r="18" customFormat="false" ht="15" hidden="false" customHeight="false" outlineLevel="0" collapsed="false">
      <c r="A18" s="2" t="s">
        <v>27</v>
      </c>
      <c r="B18" s="2" t="s">
        <v>28</v>
      </c>
    </row>
    <row r="19" customFormat="false" ht="15" hidden="false" customHeight="false" outlineLevel="0" collapsed="false">
      <c r="A19" s="3"/>
      <c r="B19" s="2"/>
    </row>
    <row r="20" customFormat="false" ht="35.05" hidden="false" customHeight="false" outlineLevel="0" collapsed="false">
      <c r="A20" s="2" t="s">
        <v>29</v>
      </c>
      <c r="B20" s="2" t="s">
        <v>30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2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5" ySplit="1" topLeftCell="F2" activePane="bottomRight" state="frozen"/>
      <selection pane="topLeft" activeCell="A1" activeCellId="0" sqref="A1"/>
      <selection pane="topRight" activeCell="F1" activeCellId="0" sqref="F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6"/>
    <col collapsed="false" customWidth="true" hidden="false" outlineLevel="0" max="3" min="3" style="0" width="11"/>
    <col collapsed="false" customWidth="true" hidden="false" outlineLevel="0" max="4" min="4" style="0" width="13"/>
    <col collapsed="false" customWidth="true" hidden="false" outlineLevel="0" max="5" min="5" style="0" width="46"/>
    <col collapsed="false" customWidth="true" hidden="false" outlineLevel="0" max="6" min="6" style="0" width="19"/>
    <col collapsed="false" customWidth="true" hidden="false" outlineLevel="0" max="7" min="7" style="0" width="20"/>
    <col collapsed="false" customWidth="true" hidden="false" outlineLevel="0" max="8" min="8" style="0" width="34"/>
    <col collapsed="false" customWidth="true" hidden="false" outlineLevel="0" max="9" min="9" style="0" width="14"/>
    <col collapsed="false" customWidth="true" hidden="false" outlineLevel="0" max="14" min="10" style="0" width="40"/>
    <col collapsed="false" customWidth="true" hidden="false" outlineLevel="0" max="19" min="15" style="0" width="15"/>
  </cols>
  <sheetData>
    <row r="1" customFormat="false" ht="30" hidden="false" customHeight="true" outlineLevel="0" collapsed="false">
      <c r="A1" s="4" t="s">
        <v>31</v>
      </c>
      <c r="B1" s="4" t="s">
        <v>32</v>
      </c>
      <c r="C1" s="4" t="s">
        <v>33</v>
      </c>
      <c r="D1" s="4" t="s">
        <v>34</v>
      </c>
      <c r="E1" s="4" t="s">
        <v>16</v>
      </c>
      <c r="F1" s="4" t="s">
        <v>35</v>
      </c>
      <c r="G1" s="4" t="s">
        <v>36</v>
      </c>
      <c r="H1" s="4" t="s">
        <v>37</v>
      </c>
      <c r="I1" s="4" t="s">
        <v>38</v>
      </c>
      <c r="J1" s="5" t="s">
        <v>39</v>
      </c>
      <c r="K1" s="5" t="s">
        <v>40</v>
      </c>
      <c r="L1" s="5" t="s">
        <v>41</v>
      </c>
      <c r="M1" s="5" t="s">
        <v>42</v>
      </c>
      <c r="N1" s="5" t="s">
        <v>43</v>
      </c>
      <c r="O1" s="6" t="s">
        <v>44</v>
      </c>
      <c r="P1" s="6" t="s">
        <v>45</v>
      </c>
      <c r="Q1" s="6" t="s">
        <v>46</v>
      </c>
      <c r="R1" s="6" t="s">
        <v>47</v>
      </c>
      <c r="S1" s="6" t="s">
        <v>48</v>
      </c>
    </row>
    <row r="2" customFormat="false" ht="15" hidden="false" customHeight="false" outlineLevel="0" collapsed="false">
      <c r="A2" s="7" t="s">
        <v>49</v>
      </c>
      <c r="B2" s="7" t="n">
        <v>1</v>
      </c>
      <c r="C2" s="7" t="s">
        <v>50</v>
      </c>
      <c r="D2" s="7" t="s">
        <v>51</v>
      </c>
      <c r="E2" s="7" t="s">
        <v>52</v>
      </c>
      <c r="F2" s="7" t="s">
        <v>53</v>
      </c>
      <c r="G2" s="7" t="s">
        <v>54</v>
      </c>
      <c r="H2" s="7" t="s">
        <v>55</v>
      </c>
      <c r="I2" s="7"/>
      <c r="J2" s="8" t="s">
        <v>56</v>
      </c>
      <c r="K2" s="7"/>
      <c r="L2" s="8" t="s">
        <v>57</v>
      </c>
      <c r="M2" s="8" t="s">
        <v>58</v>
      </c>
      <c r="N2" s="7"/>
      <c r="O2" s="7" t="s">
        <v>59</v>
      </c>
      <c r="P2" s="7"/>
      <c r="Q2" s="7" t="s">
        <v>59</v>
      </c>
      <c r="R2" s="7" t="s">
        <v>59</v>
      </c>
      <c r="S2" s="7"/>
    </row>
    <row r="3" customFormat="false" ht="15" hidden="false" customHeight="false" outlineLevel="0" collapsed="false">
      <c r="A3" s="7" t="s">
        <v>60</v>
      </c>
      <c r="B3" s="7" t="n">
        <v>1</v>
      </c>
      <c r="C3" s="7" t="s">
        <v>50</v>
      </c>
      <c r="D3" s="7" t="s">
        <v>61</v>
      </c>
      <c r="E3" s="7" t="s">
        <v>62</v>
      </c>
      <c r="F3" s="7" t="s">
        <v>63</v>
      </c>
      <c r="G3" s="7"/>
      <c r="H3" s="7"/>
      <c r="I3" s="7"/>
      <c r="J3" s="8" t="s">
        <v>64</v>
      </c>
      <c r="K3" s="7"/>
      <c r="L3" s="8" t="s">
        <v>65</v>
      </c>
      <c r="M3" s="8" t="s">
        <v>66</v>
      </c>
      <c r="N3" s="7"/>
      <c r="O3" s="7" t="s">
        <v>59</v>
      </c>
      <c r="P3" s="7"/>
      <c r="Q3" s="7" t="s">
        <v>59</v>
      </c>
      <c r="R3" s="7" t="s">
        <v>59</v>
      </c>
      <c r="S3" s="7"/>
    </row>
    <row r="4" customFormat="false" ht="15" hidden="false" customHeight="false" outlineLevel="0" collapsed="false">
      <c r="A4" s="7" t="s">
        <v>67</v>
      </c>
      <c r="B4" s="7" t="n">
        <v>1</v>
      </c>
      <c r="C4" s="7" t="s">
        <v>68</v>
      </c>
      <c r="D4" s="7" t="s">
        <v>61</v>
      </c>
      <c r="E4" s="7" t="s">
        <v>69</v>
      </c>
      <c r="F4" s="7" t="s">
        <v>63</v>
      </c>
      <c r="G4" s="7"/>
      <c r="H4" s="7"/>
      <c r="I4" s="7"/>
      <c r="J4" s="8" t="s">
        <v>70</v>
      </c>
      <c r="K4" s="7"/>
      <c r="L4" s="8" t="s">
        <v>69</v>
      </c>
      <c r="M4" s="8" t="s">
        <v>71</v>
      </c>
      <c r="N4" s="7"/>
      <c r="O4" s="7" t="s">
        <v>59</v>
      </c>
      <c r="P4" s="7"/>
      <c r="Q4" s="7" t="s">
        <v>59</v>
      </c>
      <c r="R4" s="7" t="s">
        <v>59</v>
      </c>
      <c r="S4" s="7"/>
    </row>
    <row r="5" customFormat="false" ht="15" hidden="false" customHeight="false" outlineLevel="0" collapsed="false">
      <c r="A5" s="7" t="s">
        <v>72</v>
      </c>
      <c r="B5" s="7" t="n">
        <v>1</v>
      </c>
      <c r="C5" s="7" t="s">
        <v>68</v>
      </c>
      <c r="D5" s="7" t="s">
        <v>51</v>
      </c>
      <c r="E5" s="7" t="s">
        <v>73</v>
      </c>
      <c r="F5" s="7" t="s">
        <v>53</v>
      </c>
      <c r="G5" s="7" t="s">
        <v>74</v>
      </c>
      <c r="H5" s="7" t="s">
        <v>75</v>
      </c>
      <c r="I5" s="7"/>
      <c r="J5" s="8" t="s">
        <v>76</v>
      </c>
      <c r="K5" s="7"/>
      <c r="L5" s="8" t="s">
        <v>77</v>
      </c>
      <c r="M5" s="8" t="s">
        <v>78</v>
      </c>
      <c r="N5" s="7"/>
      <c r="O5" s="7" t="s">
        <v>59</v>
      </c>
      <c r="P5" s="7"/>
      <c r="Q5" s="7" t="s">
        <v>59</v>
      </c>
      <c r="R5" s="7" t="s">
        <v>59</v>
      </c>
      <c r="S5" s="7"/>
    </row>
    <row r="6" customFormat="false" ht="15" hidden="false" customHeight="false" outlineLevel="0" collapsed="false">
      <c r="A6" s="7" t="s">
        <v>79</v>
      </c>
      <c r="B6" s="7" t="n">
        <v>1</v>
      </c>
      <c r="C6" s="7" t="s">
        <v>50</v>
      </c>
      <c r="D6" s="7" t="s">
        <v>80</v>
      </c>
      <c r="E6" s="7" t="s">
        <v>81</v>
      </c>
      <c r="F6" s="7" t="s">
        <v>82</v>
      </c>
      <c r="G6" s="7"/>
      <c r="H6" s="7"/>
      <c r="I6" s="7"/>
      <c r="J6" s="8" t="s">
        <v>83</v>
      </c>
      <c r="K6" s="7"/>
      <c r="L6" s="8" t="s">
        <v>84</v>
      </c>
      <c r="M6" s="8" t="s">
        <v>85</v>
      </c>
      <c r="N6" s="7"/>
      <c r="O6" s="7" t="s">
        <v>59</v>
      </c>
      <c r="P6" s="7"/>
      <c r="Q6" s="7" t="s">
        <v>59</v>
      </c>
      <c r="R6" s="7" t="s">
        <v>59</v>
      </c>
      <c r="S6" s="7"/>
    </row>
    <row r="7" customFormat="false" ht="15" hidden="false" customHeight="false" outlineLevel="0" collapsed="false">
      <c r="A7" s="7" t="s">
        <v>86</v>
      </c>
      <c r="B7" s="7" t="n">
        <v>1</v>
      </c>
      <c r="C7" s="7" t="s">
        <v>68</v>
      </c>
      <c r="D7" s="7" t="s">
        <v>80</v>
      </c>
      <c r="E7" s="7" t="s">
        <v>87</v>
      </c>
      <c r="F7" s="7" t="s">
        <v>82</v>
      </c>
      <c r="G7" s="7"/>
      <c r="H7" s="7"/>
      <c r="I7" s="7"/>
      <c r="J7" s="8" t="s">
        <v>88</v>
      </c>
      <c r="K7" s="7"/>
      <c r="L7" s="8" t="s">
        <v>89</v>
      </c>
      <c r="M7" s="8" t="s">
        <v>90</v>
      </c>
      <c r="N7" s="7"/>
      <c r="O7" s="7" t="s">
        <v>59</v>
      </c>
      <c r="P7" s="7"/>
      <c r="Q7" s="7" t="s">
        <v>59</v>
      </c>
      <c r="R7" s="7" t="s">
        <v>59</v>
      </c>
      <c r="S7" s="7"/>
    </row>
    <row r="8" customFormat="false" ht="23.85" hidden="false" customHeight="false" outlineLevel="0" collapsed="false">
      <c r="A8" s="7" t="s">
        <v>91</v>
      </c>
      <c r="B8" s="7" t="n">
        <v>1</v>
      </c>
      <c r="C8" s="7" t="s">
        <v>92</v>
      </c>
      <c r="D8" s="7" t="s">
        <v>51</v>
      </c>
      <c r="E8" s="7" t="s">
        <v>93</v>
      </c>
      <c r="F8" s="7" t="s">
        <v>53</v>
      </c>
      <c r="G8" s="7" t="s">
        <v>94</v>
      </c>
      <c r="H8" s="7" t="s">
        <v>95</v>
      </c>
      <c r="I8" s="7"/>
      <c r="J8" s="8" t="s">
        <v>96</v>
      </c>
      <c r="K8" s="7"/>
      <c r="L8" s="8" t="s">
        <v>97</v>
      </c>
      <c r="M8" s="8" t="s">
        <v>98</v>
      </c>
      <c r="N8" s="7"/>
      <c r="O8" s="7" t="s">
        <v>59</v>
      </c>
      <c r="P8" s="7"/>
      <c r="Q8" s="7" t="s">
        <v>59</v>
      </c>
      <c r="R8" s="7" t="s">
        <v>59</v>
      </c>
      <c r="S8" s="7"/>
    </row>
    <row r="9" customFormat="false" ht="15" hidden="false" customHeight="false" outlineLevel="0" collapsed="false">
      <c r="A9" s="7" t="s">
        <v>99</v>
      </c>
      <c r="B9" s="7" t="n">
        <v>1</v>
      </c>
      <c r="C9" s="7" t="s">
        <v>50</v>
      </c>
      <c r="D9" s="7" t="s">
        <v>51</v>
      </c>
      <c r="E9" s="7" t="s">
        <v>100</v>
      </c>
      <c r="F9" s="7" t="s">
        <v>53</v>
      </c>
      <c r="G9" s="7" t="s">
        <v>54</v>
      </c>
      <c r="H9" s="7" t="s">
        <v>101</v>
      </c>
      <c r="I9" s="7"/>
      <c r="J9" s="8" t="s">
        <v>102</v>
      </c>
      <c r="K9" s="7"/>
      <c r="L9" s="8" t="s">
        <v>103</v>
      </c>
      <c r="M9" s="8" t="s">
        <v>104</v>
      </c>
      <c r="N9" s="7"/>
      <c r="O9" s="7" t="s">
        <v>59</v>
      </c>
      <c r="P9" s="7"/>
      <c r="Q9" s="7" t="s">
        <v>59</v>
      </c>
      <c r="R9" s="7" t="s">
        <v>59</v>
      </c>
      <c r="S9" s="7"/>
    </row>
    <row r="10" customFormat="false" ht="15" hidden="false" customHeight="false" outlineLevel="0" collapsed="false">
      <c r="A10" s="7" t="s">
        <v>105</v>
      </c>
      <c r="B10" s="7" t="n">
        <v>1</v>
      </c>
      <c r="C10" s="7" t="s">
        <v>106</v>
      </c>
      <c r="D10" s="7" t="s">
        <v>61</v>
      </c>
      <c r="E10" s="7" t="s">
        <v>107</v>
      </c>
      <c r="F10" s="7" t="s">
        <v>63</v>
      </c>
      <c r="G10" s="7"/>
      <c r="H10" s="7"/>
      <c r="I10" s="7"/>
      <c r="J10" s="8" t="s">
        <v>108</v>
      </c>
      <c r="K10" s="7"/>
      <c r="L10" s="8" t="s">
        <v>109</v>
      </c>
      <c r="M10" s="8" t="s">
        <v>110</v>
      </c>
      <c r="N10" s="7"/>
      <c r="O10" s="7" t="s">
        <v>59</v>
      </c>
      <c r="P10" s="7"/>
      <c r="Q10" s="7" t="s">
        <v>59</v>
      </c>
      <c r="R10" s="7" t="s">
        <v>59</v>
      </c>
      <c r="S10" s="7"/>
    </row>
    <row r="11" customFormat="false" ht="15" hidden="false" customHeight="false" outlineLevel="0" collapsed="false">
      <c r="A11" s="7" t="s">
        <v>111</v>
      </c>
      <c r="B11" s="7" t="n">
        <v>1</v>
      </c>
      <c r="C11" s="7" t="s">
        <v>92</v>
      </c>
      <c r="D11" s="7" t="s">
        <v>61</v>
      </c>
      <c r="E11" s="7" t="s">
        <v>112</v>
      </c>
      <c r="F11" s="7" t="s">
        <v>63</v>
      </c>
      <c r="G11" s="7"/>
      <c r="H11" s="7"/>
      <c r="I11" s="7"/>
      <c r="J11" s="8" t="s">
        <v>113</v>
      </c>
      <c r="K11" s="7"/>
      <c r="L11" s="8" t="s">
        <v>114</v>
      </c>
      <c r="M11" s="8" t="s">
        <v>115</v>
      </c>
      <c r="N11" s="7"/>
      <c r="O11" s="7" t="s">
        <v>59</v>
      </c>
      <c r="P11" s="7"/>
      <c r="Q11" s="7" t="s">
        <v>59</v>
      </c>
      <c r="R11" s="7" t="s">
        <v>59</v>
      </c>
      <c r="S11" s="7"/>
    </row>
    <row r="12" customFormat="false" ht="15" hidden="false" customHeight="false" outlineLevel="0" collapsed="false">
      <c r="A12" s="7" t="s">
        <v>116</v>
      </c>
      <c r="B12" s="7" t="n">
        <v>1</v>
      </c>
      <c r="C12" s="7" t="s">
        <v>106</v>
      </c>
      <c r="D12" s="7" t="s">
        <v>51</v>
      </c>
      <c r="E12" s="7" t="s">
        <v>117</v>
      </c>
      <c r="F12" s="7" t="s">
        <v>53</v>
      </c>
      <c r="G12" s="7" t="s">
        <v>118</v>
      </c>
      <c r="H12" s="7" t="s">
        <v>119</v>
      </c>
      <c r="I12" s="7"/>
      <c r="J12" s="8" t="s">
        <v>120</v>
      </c>
      <c r="K12" s="7"/>
      <c r="L12" s="8" t="s">
        <v>120</v>
      </c>
      <c r="M12" s="8" t="s">
        <v>121</v>
      </c>
      <c r="N12" s="7"/>
      <c r="O12" s="7" t="s">
        <v>59</v>
      </c>
      <c r="P12" s="7"/>
      <c r="Q12" s="7" t="s">
        <v>59</v>
      </c>
      <c r="R12" s="7" t="s">
        <v>59</v>
      </c>
      <c r="S12" s="7"/>
    </row>
    <row r="13" customFormat="false" ht="15" hidden="false" customHeight="false" outlineLevel="0" collapsed="false">
      <c r="A13" s="7" t="s">
        <v>122</v>
      </c>
      <c r="B13" s="7" t="n">
        <v>1</v>
      </c>
      <c r="C13" s="7" t="s">
        <v>106</v>
      </c>
      <c r="D13" s="7" t="s">
        <v>80</v>
      </c>
      <c r="E13" s="7" t="s">
        <v>123</v>
      </c>
      <c r="F13" s="7" t="s">
        <v>82</v>
      </c>
      <c r="G13" s="7"/>
      <c r="H13" s="7"/>
      <c r="I13" s="7"/>
      <c r="J13" s="8" t="s">
        <v>124</v>
      </c>
      <c r="K13" s="7"/>
      <c r="L13" s="8" t="s">
        <v>125</v>
      </c>
      <c r="M13" s="8" t="s">
        <v>126</v>
      </c>
      <c r="N13" s="7"/>
      <c r="O13" s="7" t="s">
        <v>59</v>
      </c>
      <c r="P13" s="7"/>
      <c r="Q13" s="7" t="s">
        <v>59</v>
      </c>
      <c r="R13" s="7" t="s">
        <v>59</v>
      </c>
      <c r="S13" s="7"/>
    </row>
    <row r="14" customFormat="false" ht="15" hidden="false" customHeight="false" outlineLevel="0" collapsed="false">
      <c r="A14" s="7" t="s">
        <v>127</v>
      </c>
      <c r="B14" s="7" t="n">
        <v>1</v>
      </c>
      <c r="C14" s="7" t="s">
        <v>106</v>
      </c>
      <c r="D14" s="7" t="s">
        <v>80</v>
      </c>
      <c r="E14" s="7" t="s">
        <v>128</v>
      </c>
      <c r="F14" s="7" t="s">
        <v>82</v>
      </c>
      <c r="G14" s="7"/>
      <c r="H14" s="7"/>
      <c r="I14" s="7"/>
      <c r="J14" s="8" t="s">
        <v>129</v>
      </c>
      <c r="K14" s="7"/>
      <c r="L14" s="8" t="s">
        <v>128</v>
      </c>
      <c r="M14" s="8" t="s">
        <v>130</v>
      </c>
      <c r="N14" s="7"/>
      <c r="O14" s="7" t="s">
        <v>59</v>
      </c>
      <c r="P14" s="7"/>
      <c r="Q14" s="7" t="s">
        <v>59</v>
      </c>
      <c r="R14" s="7" t="s">
        <v>59</v>
      </c>
      <c r="S14" s="7"/>
    </row>
    <row r="15" customFormat="false" ht="15" hidden="false" customHeight="false" outlineLevel="0" collapsed="false">
      <c r="A15" s="7" t="s">
        <v>131</v>
      </c>
      <c r="B15" s="7" t="n">
        <v>1</v>
      </c>
      <c r="C15" s="7" t="s">
        <v>92</v>
      </c>
      <c r="D15" s="7" t="s">
        <v>80</v>
      </c>
      <c r="E15" s="7" t="s">
        <v>132</v>
      </c>
      <c r="F15" s="7" t="s">
        <v>82</v>
      </c>
      <c r="G15" s="7"/>
      <c r="H15" s="7"/>
      <c r="I15" s="7"/>
      <c r="J15" s="8" t="s">
        <v>133</v>
      </c>
      <c r="K15" s="7"/>
      <c r="L15" s="8" t="s">
        <v>134</v>
      </c>
      <c r="M15" s="8" t="s">
        <v>135</v>
      </c>
      <c r="N15" s="7"/>
      <c r="O15" s="7" t="s">
        <v>59</v>
      </c>
      <c r="P15" s="7"/>
      <c r="Q15" s="7" t="s">
        <v>59</v>
      </c>
      <c r="R15" s="7" t="s">
        <v>59</v>
      </c>
      <c r="S15" s="7"/>
    </row>
    <row r="16" customFormat="false" ht="15" hidden="false" customHeight="false" outlineLevel="0" collapsed="false">
      <c r="A16" s="7" t="s">
        <v>136</v>
      </c>
      <c r="B16" s="7" t="n">
        <v>1</v>
      </c>
      <c r="C16" s="7" t="s">
        <v>50</v>
      </c>
      <c r="D16" s="7" t="s">
        <v>61</v>
      </c>
      <c r="E16" s="7" t="s">
        <v>137</v>
      </c>
      <c r="F16" s="7" t="s">
        <v>63</v>
      </c>
      <c r="G16" s="7"/>
      <c r="H16" s="7"/>
      <c r="I16" s="7"/>
      <c r="J16" s="8" t="s">
        <v>138</v>
      </c>
      <c r="K16" s="7"/>
      <c r="L16" s="8" t="s">
        <v>139</v>
      </c>
      <c r="M16" s="8" t="s">
        <v>140</v>
      </c>
      <c r="N16" s="7"/>
      <c r="O16" s="7" t="s">
        <v>59</v>
      </c>
      <c r="P16" s="7"/>
      <c r="Q16" s="7" t="s">
        <v>59</v>
      </c>
      <c r="R16" s="7" t="s">
        <v>59</v>
      </c>
      <c r="S16" s="7"/>
    </row>
    <row r="17" customFormat="false" ht="15" hidden="false" customHeight="false" outlineLevel="0" collapsed="false">
      <c r="A17" s="7" t="s">
        <v>141</v>
      </c>
      <c r="B17" s="7" t="n">
        <v>1</v>
      </c>
      <c r="C17" s="7" t="s">
        <v>106</v>
      </c>
      <c r="D17" s="7" t="s">
        <v>61</v>
      </c>
      <c r="E17" s="7" t="s">
        <v>142</v>
      </c>
      <c r="F17" s="7" t="s">
        <v>63</v>
      </c>
      <c r="G17" s="7"/>
      <c r="H17" s="7"/>
      <c r="I17" s="7"/>
      <c r="J17" s="8" t="s">
        <v>143</v>
      </c>
      <c r="K17" s="7"/>
      <c r="L17" s="8" t="s">
        <v>144</v>
      </c>
      <c r="M17" s="8" t="s">
        <v>145</v>
      </c>
      <c r="N17" s="7"/>
      <c r="O17" s="7" t="s">
        <v>59</v>
      </c>
      <c r="P17" s="7"/>
      <c r="Q17" s="7" t="s">
        <v>59</v>
      </c>
      <c r="R17" s="7" t="s">
        <v>59</v>
      </c>
      <c r="S17" s="7"/>
    </row>
    <row r="18" customFormat="false" ht="15" hidden="false" customHeight="false" outlineLevel="0" collapsed="false">
      <c r="A18" s="7" t="s">
        <v>146</v>
      </c>
      <c r="B18" s="7" t="n">
        <v>1</v>
      </c>
      <c r="C18" s="7" t="s">
        <v>92</v>
      </c>
      <c r="D18" s="7" t="s">
        <v>147</v>
      </c>
      <c r="E18" s="7" t="s">
        <v>148</v>
      </c>
      <c r="F18" s="7" t="s">
        <v>149</v>
      </c>
      <c r="G18" s="7"/>
      <c r="H18" s="7"/>
      <c r="I18" s="7"/>
      <c r="J18" s="8" t="s">
        <v>150</v>
      </c>
      <c r="K18" s="7"/>
      <c r="L18" s="8" t="s">
        <v>151</v>
      </c>
      <c r="M18" s="8" t="s">
        <v>152</v>
      </c>
      <c r="N18" s="7"/>
      <c r="O18" s="7" t="s">
        <v>59</v>
      </c>
      <c r="P18" s="7"/>
      <c r="Q18" s="7" t="s">
        <v>59</v>
      </c>
      <c r="R18" s="7" t="s">
        <v>59</v>
      </c>
      <c r="S18" s="7"/>
    </row>
    <row r="19" customFormat="false" ht="15" hidden="false" customHeight="false" outlineLevel="0" collapsed="false">
      <c r="A19" s="7" t="s">
        <v>153</v>
      </c>
      <c r="B19" s="7" t="n">
        <v>1</v>
      </c>
      <c r="C19" s="7" t="s">
        <v>106</v>
      </c>
      <c r="D19" s="7" t="s">
        <v>61</v>
      </c>
      <c r="E19" s="7" t="s">
        <v>154</v>
      </c>
      <c r="F19" s="7" t="s">
        <v>63</v>
      </c>
      <c r="G19" s="7"/>
      <c r="H19" s="7"/>
      <c r="I19" s="7"/>
      <c r="J19" s="8" t="s">
        <v>155</v>
      </c>
      <c r="K19" s="7"/>
      <c r="L19" s="8" t="s">
        <v>154</v>
      </c>
      <c r="M19" s="8" t="s">
        <v>156</v>
      </c>
      <c r="N19" s="7"/>
      <c r="O19" s="7" t="s">
        <v>59</v>
      </c>
      <c r="P19" s="7"/>
      <c r="Q19" s="7" t="s">
        <v>59</v>
      </c>
      <c r="R19" s="7" t="s">
        <v>59</v>
      </c>
      <c r="S19" s="7"/>
    </row>
    <row r="20" customFormat="false" ht="15" hidden="false" customHeight="false" outlineLevel="0" collapsed="false">
      <c r="A20" s="7" t="s">
        <v>157</v>
      </c>
      <c r="B20" s="7" t="n">
        <v>1</v>
      </c>
      <c r="C20" s="7" t="s">
        <v>68</v>
      </c>
      <c r="D20" s="7" t="s">
        <v>61</v>
      </c>
      <c r="E20" s="7" t="s">
        <v>158</v>
      </c>
      <c r="F20" s="7" t="s">
        <v>63</v>
      </c>
      <c r="G20" s="7"/>
      <c r="H20" s="7"/>
      <c r="I20" s="7"/>
      <c r="J20" s="8" t="s">
        <v>159</v>
      </c>
      <c r="K20" s="7"/>
      <c r="L20" s="8" t="s">
        <v>160</v>
      </c>
      <c r="M20" s="8" t="s">
        <v>161</v>
      </c>
      <c r="N20" s="7"/>
      <c r="O20" s="7" t="s">
        <v>59</v>
      </c>
      <c r="P20" s="7"/>
      <c r="Q20" s="7" t="s">
        <v>59</v>
      </c>
      <c r="R20" s="7" t="s">
        <v>59</v>
      </c>
      <c r="S20" s="7"/>
    </row>
    <row r="21" customFormat="false" ht="15" hidden="false" customHeight="false" outlineLevel="0" collapsed="false">
      <c r="A21" s="7" t="s">
        <v>162</v>
      </c>
      <c r="B21" s="7" t="n">
        <v>1</v>
      </c>
      <c r="C21" s="7" t="s">
        <v>106</v>
      </c>
      <c r="D21" s="7" t="s">
        <v>61</v>
      </c>
      <c r="E21" s="7" t="s">
        <v>163</v>
      </c>
      <c r="F21" s="7" t="s">
        <v>63</v>
      </c>
      <c r="G21" s="7"/>
      <c r="H21" s="7"/>
      <c r="I21" s="7"/>
      <c r="J21" s="8" t="s">
        <v>164</v>
      </c>
      <c r="K21" s="7"/>
      <c r="L21" s="8" t="s">
        <v>165</v>
      </c>
      <c r="M21" s="8" t="s">
        <v>166</v>
      </c>
      <c r="N21" s="7"/>
      <c r="O21" s="7" t="s">
        <v>59</v>
      </c>
      <c r="P21" s="7"/>
      <c r="Q21" s="7" t="s">
        <v>59</v>
      </c>
      <c r="R21" s="7" t="s">
        <v>59</v>
      </c>
      <c r="S21" s="7"/>
    </row>
    <row r="22" customFormat="false" ht="15" hidden="false" customHeight="false" outlineLevel="0" collapsed="false">
      <c r="A22" s="7" t="s">
        <v>167</v>
      </c>
      <c r="B22" s="7" t="n">
        <v>1</v>
      </c>
      <c r="C22" s="7" t="s">
        <v>106</v>
      </c>
      <c r="D22" s="7" t="s">
        <v>51</v>
      </c>
      <c r="E22" s="7" t="s">
        <v>168</v>
      </c>
      <c r="F22" s="7" t="s">
        <v>53</v>
      </c>
      <c r="G22" s="7" t="s">
        <v>118</v>
      </c>
      <c r="H22" s="7" t="s">
        <v>169</v>
      </c>
      <c r="I22" s="7"/>
      <c r="J22" s="8" t="s">
        <v>170</v>
      </c>
      <c r="K22" s="7"/>
      <c r="L22" s="8" t="s">
        <v>168</v>
      </c>
      <c r="M22" s="8" t="s">
        <v>171</v>
      </c>
      <c r="N22" s="7"/>
      <c r="O22" s="7" t="s">
        <v>59</v>
      </c>
      <c r="P22" s="7"/>
      <c r="Q22" s="7" t="s">
        <v>59</v>
      </c>
      <c r="R22" s="7" t="s">
        <v>59</v>
      </c>
      <c r="S22" s="7"/>
    </row>
    <row r="23" customFormat="false" ht="15" hidden="false" customHeight="false" outlineLevel="0" collapsed="false">
      <c r="A23" s="7" t="s">
        <v>172</v>
      </c>
      <c r="B23" s="7" t="n">
        <v>1</v>
      </c>
      <c r="C23" s="7" t="s">
        <v>50</v>
      </c>
      <c r="D23" s="7" t="s">
        <v>61</v>
      </c>
      <c r="E23" s="7" t="s">
        <v>173</v>
      </c>
      <c r="F23" s="7" t="s">
        <v>63</v>
      </c>
      <c r="G23" s="7"/>
      <c r="H23" s="7"/>
      <c r="I23" s="7"/>
      <c r="J23" s="8" t="s">
        <v>174</v>
      </c>
      <c r="K23" s="7"/>
      <c r="L23" s="8" t="s">
        <v>175</v>
      </c>
      <c r="M23" s="8" t="s">
        <v>176</v>
      </c>
      <c r="N23" s="7"/>
      <c r="O23" s="7" t="s">
        <v>59</v>
      </c>
      <c r="P23" s="7"/>
      <c r="Q23" s="7" t="s">
        <v>59</v>
      </c>
      <c r="R23" s="7" t="s">
        <v>59</v>
      </c>
      <c r="S23" s="7"/>
    </row>
    <row r="24" customFormat="false" ht="15" hidden="false" customHeight="false" outlineLevel="0" collapsed="false">
      <c r="A24" s="7" t="s">
        <v>177</v>
      </c>
      <c r="B24" s="7" t="n">
        <v>1</v>
      </c>
      <c r="C24" s="7" t="s">
        <v>50</v>
      </c>
      <c r="D24" s="7" t="s">
        <v>178</v>
      </c>
      <c r="E24" s="7" t="s">
        <v>179</v>
      </c>
      <c r="F24" s="7" t="s">
        <v>180</v>
      </c>
      <c r="G24" s="7"/>
      <c r="H24" s="7"/>
      <c r="I24" s="7"/>
      <c r="J24" s="8" t="s">
        <v>181</v>
      </c>
      <c r="K24" s="7"/>
      <c r="L24" s="8" t="s">
        <v>182</v>
      </c>
      <c r="M24" s="8" t="s">
        <v>183</v>
      </c>
      <c r="N24" s="7"/>
      <c r="O24" s="7" t="s">
        <v>59</v>
      </c>
      <c r="P24" s="7"/>
      <c r="Q24" s="7" t="s">
        <v>59</v>
      </c>
      <c r="R24" s="7" t="s">
        <v>59</v>
      </c>
      <c r="S24" s="7"/>
    </row>
    <row r="25" customFormat="false" ht="15" hidden="false" customHeight="false" outlineLevel="0" collapsed="false">
      <c r="A25" s="7" t="s">
        <v>184</v>
      </c>
      <c r="B25" s="7" t="n">
        <v>1</v>
      </c>
      <c r="C25" s="7" t="s">
        <v>68</v>
      </c>
      <c r="D25" s="7" t="s">
        <v>61</v>
      </c>
      <c r="E25" s="7" t="s">
        <v>185</v>
      </c>
      <c r="F25" s="7" t="s">
        <v>63</v>
      </c>
      <c r="G25" s="7"/>
      <c r="H25" s="7"/>
      <c r="I25" s="7"/>
      <c r="J25" s="8" t="s">
        <v>186</v>
      </c>
      <c r="K25" s="7"/>
      <c r="L25" s="8" t="s">
        <v>187</v>
      </c>
      <c r="M25" s="8" t="s">
        <v>188</v>
      </c>
      <c r="N25" s="7"/>
      <c r="O25" s="7" t="s">
        <v>59</v>
      </c>
      <c r="P25" s="7"/>
      <c r="Q25" s="7" t="s">
        <v>59</v>
      </c>
      <c r="R25" s="7" t="s">
        <v>59</v>
      </c>
      <c r="S25" s="7"/>
    </row>
    <row r="26" customFormat="false" ht="15" hidden="false" customHeight="false" outlineLevel="0" collapsed="false">
      <c r="A26" s="7" t="s">
        <v>189</v>
      </c>
      <c r="B26" s="7" t="n">
        <v>1</v>
      </c>
      <c r="C26" s="7" t="s">
        <v>68</v>
      </c>
      <c r="D26" s="7" t="s">
        <v>61</v>
      </c>
      <c r="E26" s="7" t="s">
        <v>190</v>
      </c>
      <c r="F26" s="7" t="s">
        <v>63</v>
      </c>
      <c r="G26" s="7"/>
      <c r="H26" s="7"/>
      <c r="I26" s="7"/>
      <c r="J26" s="8" t="s">
        <v>191</v>
      </c>
      <c r="K26" s="7"/>
      <c r="L26" s="8" t="s">
        <v>192</v>
      </c>
      <c r="M26" s="8" t="s">
        <v>193</v>
      </c>
      <c r="N26" s="7"/>
      <c r="O26" s="7" t="s">
        <v>59</v>
      </c>
      <c r="P26" s="7"/>
      <c r="Q26" s="7" t="s">
        <v>59</v>
      </c>
      <c r="R26" s="7" t="s">
        <v>59</v>
      </c>
      <c r="S26" s="7"/>
    </row>
    <row r="27" customFormat="false" ht="15" hidden="false" customHeight="false" outlineLevel="0" collapsed="false">
      <c r="A27" s="7" t="s">
        <v>194</v>
      </c>
      <c r="B27" s="7" t="n">
        <v>1</v>
      </c>
      <c r="C27" s="7" t="s">
        <v>92</v>
      </c>
      <c r="D27" s="7" t="s">
        <v>147</v>
      </c>
      <c r="E27" s="7" t="s">
        <v>195</v>
      </c>
      <c r="F27" s="7" t="s">
        <v>149</v>
      </c>
      <c r="G27" s="7"/>
      <c r="H27" s="7"/>
      <c r="I27" s="7"/>
      <c r="J27" s="8" t="s">
        <v>196</v>
      </c>
      <c r="K27" s="7"/>
      <c r="L27" s="8" t="s">
        <v>197</v>
      </c>
      <c r="M27" s="8" t="s">
        <v>198</v>
      </c>
      <c r="N27" s="7"/>
      <c r="O27" s="7" t="s">
        <v>59</v>
      </c>
      <c r="P27" s="7"/>
      <c r="Q27" s="7" t="s">
        <v>59</v>
      </c>
      <c r="R27" s="7" t="s">
        <v>59</v>
      </c>
      <c r="S27" s="7"/>
    </row>
    <row r="28" customFormat="false" ht="23.85" hidden="false" customHeight="false" outlineLevel="0" collapsed="false">
      <c r="A28" s="7" t="s">
        <v>199</v>
      </c>
      <c r="B28" s="7" t="n">
        <v>1</v>
      </c>
      <c r="C28" s="7" t="s">
        <v>92</v>
      </c>
      <c r="D28" s="7" t="s">
        <v>51</v>
      </c>
      <c r="E28" s="7" t="s">
        <v>200</v>
      </c>
      <c r="F28" s="7" t="s">
        <v>53</v>
      </c>
      <c r="G28" s="7" t="s">
        <v>94</v>
      </c>
      <c r="H28" s="7" t="s">
        <v>201</v>
      </c>
      <c r="I28" s="7"/>
      <c r="J28" s="8" t="s">
        <v>202</v>
      </c>
      <c r="K28" s="7"/>
      <c r="L28" s="8" t="s">
        <v>203</v>
      </c>
      <c r="M28" s="8" t="s">
        <v>204</v>
      </c>
      <c r="N28" s="7"/>
      <c r="O28" s="7" t="s">
        <v>59</v>
      </c>
      <c r="P28" s="7"/>
      <c r="Q28" s="7" t="s">
        <v>59</v>
      </c>
      <c r="R28" s="7" t="s">
        <v>59</v>
      </c>
      <c r="S28" s="7"/>
    </row>
    <row r="29" customFormat="false" ht="15" hidden="false" customHeight="false" outlineLevel="0" collapsed="false">
      <c r="A29" s="7" t="s">
        <v>205</v>
      </c>
      <c r="B29" s="7" t="n">
        <v>1</v>
      </c>
      <c r="C29" s="7" t="s">
        <v>92</v>
      </c>
      <c r="D29" s="7" t="s">
        <v>61</v>
      </c>
      <c r="E29" s="7" t="s">
        <v>206</v>
      </c>
      <c r="F29" s="7" t="s">
        <v>63</v>
      </c>
      <c r="G29" s="7"/>
      <c r="H29" s="7"/>
      <c r="I29" s="7"/>
      <c r="J29" s="8" t="s">
        <v>207</v>
      </c>
      <c r="K29" s="7"/>
      <c r="L29" s="8" t="s">
        <v>208</v>
      </c>
      <c r="M29" s="8" t="s">
        <v>209</v>
      </c>
      <c r="N29" s="7"/>
      <c r="O29" s="7" t="s">
        <v>59</v>
      </c>
      <c r="P29" s="7"/>
      <c r="Q29" s="7" t="s">
        <v>59</v>
      </c>
      <c r="R29" s="7" t="s">
        <v>59</v>
      </c>
      <c r="S29" s="7"/>
    </row>
    <row r="30" customFormat="false" ht="15" hidden="false" customHeight="false" outlineLevel="0" collapsed="false">
      <c r="A30" s="7" t="s">
        <v>210</v>
      </c>
      <c r="B30" s="7" t="n">
        <v>1</v>
      </c>
      <c r="C30" s="7" t="s">
        <v>106</v>
      </c>
      <c r="D30" s="7" t="s">
        <v>178</v>
      </c>
      <c r="E30" s="7" t="s">
        <v>211</v>
      </c>
      <c r="F30" s="7" t="s">
        <v>180</v>
      </c>
      <c r="G30" s="7"/>
      <c r="H30" s="7"/>
      <c r="I30" s="7"/>
      <c r="J30" s="8" t="s">
        <v>212</v>
      </c>
      <c r="K30" s="7"/>
      <c r="L30" s="8" t="s">
        <v>213</v>
      </c>
      <c r="M30" s="8" t="s">
        <v>211</v>
      </c>
      <c r="N30" s="7"/>
      <c r="O30" s="7" t="s">
        <v>59</v>
      </c>
      <c r="P30" s="7"/>
      <c r="Q30" s="7" t="s">
        <v>59</v>
      </c>
      <c r="R30" s="7" t="s">
        <v>59</v>
      </c>
      <c r="S30" s="7"/>
    </row>
    <row r="31" customFormat="false" ht="15" hidden="false" customHeight="false" outlineLevel="0" collapsed="false">
      <c r="A31" s="7" t="s">
        <v>214</v>
      </c>
      <c r="B31" s="7" t="n">
        <v>1</v>
      </c>
      <c r="C31" s="7" t="s">
        <v>92</v>
      </c>
      <c r="D31" s="7" t="s">
        <v>61</v>
      </c>
      <c r="E31" s="7" t="s">
        <v>17</v>
      </c>
      <c r="F31" s="7" t="s">
        <v>63</v>
      </c>
      <c r="G31" s="7"/>
      <c r="H31" s="7"/>
      <c r="I31" s="7"/>
      <c r="J31" s="8" t="s">
        <v>19</v>
      </c>
      <c r="K31" s="7"/>
      <c r="L31" s="8" t="s">
        <v>215</v>
      </c>
      <c r="M31" s="8" t="s">
        <v>216</v>
      </c>
      <c r="N31" s="7"/>
      <c r="O31" s="7" t="s">
        <v>59</v>
      </c>
      <c r="P31" s="7"/>
      <c r="Q31" s="7" t="s">
        <v>59</v>
      </c>
      <c r="R31" s="7" t="s">
        <v>59</v>
      </c>
      <c r="S31" s="7"/>
    </row>
    <row r="32" customFormat="false" ht="15" hidden="false" customHeight="false" outlineLevel="0" collapsed="false">
      <c r="A32" s="7" t="s">
        <v>217</v>
      </c>
      <c r="B32" s="7" t="n">
        <v>1</v>
      </c>
      <c r="C32" s="7" t="s">
        <v>68</v>
      </c>
      <c r="D32" s="7" t="s">
        <v>178</v>
      </c>
      <c r="E32" s="7" t="s">
        <v>218</v>
      </c>
      <c r="F32" s="7" t="s">
        <v>180</v>
      </c>
      <c r="G32" s="7"/>
      <c r="H32" s="7"/>
      <c r="I32" s="7"/>
      <c r="J32" s="8" t="s">
        <v>219</v>
      </c>
      <c r="K32" s="7"/>
      <c r="L32" s="8" t="s">
        <v>218</v>
      </c>
      <c r="M32" s="8" t="s">
        <v>220</v>
      </c>
      <c r="N32" s="7"/>
      <c r="O32" s="7" t="s">
        <v>59</v>
      </c>
      <c r="P32" s="7"/>
      <c r="Q32" s="7" t="s">
        <v>59</v>
      </c>
      <c r="R32" s="7" t="s">
        <v>59</v>
      </c>
      <c r="S32" s="7"/>
    </row>
    <row r="33" customFormat="false" ht="15" hidden="false" customHeight="false" outlineLevel="0" collapsed="false">
      <c r="A33" s="7" t="s">
        <v>221</v>
      </c>
      <c r="B33" s="7" t="n">
        <v>1</v>
      </c>
      <c r="C33" s="7" t="s">
        <v>50</v>
      </c>
      <c r="D33" s="7" t="s">
        <v>178</v>
      </c>
      <c r="E33" s="7" t="s">
        <v>222</v>
      </c>
      <c r="F33" s="7" t="s">
        <v>180</v>
      </c>
      <c r="G33" s="7"/>
      <c r="H33" s="7"/>
      <c r="I33" s="7"/>
      <c r="J33" s="8" t="s">
        <v>223</v>
      </c>
      <c r="K33" s="7"/>
      <c r="L33" s="8" t="s">
        <v>224</v>
      </c>
      <c r="M33" s="8" t="s">
        <v>225</v>
      </c>
      <c r="N33" s="7"/>
      <c r="O33" s="7" t="s">
        <v>59</v>
      </c>
      <c r="P33" s="7"/>
      <c r="Q33" s="7" t="s">
        <v>59</v>
      </c>
      <c r="R33" s="7" t="s">
        <v>59</v>
      </c>
      <c r="S33" s="7"/>
    </row>
    <row r="34" customFormat="false" ht="15" hidden="false" customHeight="false" outlineLevel="0" collapsed="false">
      <c r="A34" s="7" t="s">
        <v>226</v>
      </c>
      <c r="B34" s="7" t="n">
        <v>1</v>
      </c>
      <c r="C34" s="7" t="s">
        <v>68</v>
      </c>
      <c r="D34" s="7" t="s">
        <v>61</v>
      </c>
      <c r="E34" s="7" t="s">
        <v>227</v>
      </c>
      <c r="F34" s="7" t="s">
        <v>63</v>
      </c>
      <c r="G34" s="7"/>
      <c r="H34" s="7"/>
      <c r="I34" s="7"/>
      <c r="J34" s="8" t="s">
        <v>228</v>
      </c>
      <c r="K34" s="7"/>
      <c r="L34" s="8" t="s">
        <v>227</v>
      </c>
      <c r="M34" s="8" t="s">
        <v>229</v>
      </c>
      <c r="N34" s="7"/>
      <c r="O34" s="7" t="s">
        <v>59</v>
      </c>
      <c r="P34" s="7"/>
      <c r="Q34" s="7" t="s">
        <v>59</v>
      </c>
      <c r="R34" s="7" t="s">
        <v>59</v>
      </c>
      <c r="S34" s="7"/>
    </row>
    <row r="35" customFormat="false" ht="15" hidden="false" customHeight="false" outlineLevel="0" collapsed="false">
      <c r="A35" s="7" t="s">
        <v>230</v>
      </c>
      <c r="B35" s="7" t="n">
        <v>1</v>
      </c>
      <c r="C35" s="7" t="s">
        <v>50</v>
      </c>
      <c r="D35" s="7" t="s">
        <v>80</v>
      </c>
      <c r="E35" s="7" t="s">
        <v>231</v>
      </c>
      <c r="F35" s="7" t="s">
        <v>82</v>
      </c>
      <c r="G35" s="7"/>
      <c r="H35" s="7"/>
      <c r="I35" s="7"/>
      <c r="J35" s="8" t="s">
        <v>232</v>
      </c>
      <c r="K35" s="7"/>
      <c r="L35" s="8" t="s">
        <v>233</v>
      </c>
      <c r="M35" s="8" t="s">
        <v>234</v>
      </c>
      <c r="N35" s="7"/>
      <c r="O35" s="7" t="s">
        <v>59</v>
      </c>
      <c r="P35" s="7"/>
      <c r="Q35" s="7" t="s">
        <v>59</v>
      </c>
      <c r="R35" s="7" t="s">
        <v>59</v>
      </c>
      <c r="S35" s="7"/>
    </row>
    <row r="36" customFormat="false" ht="15" hidden="false" customHeight="false" outlineLevel="0" collapsed="false">
      <c r="A36" s="7" t="s">
        <v>235</v>
      </c>
      <c r="B36" s="7" t="n">
        <v>1</v>
      </c>
      <c r="C36" s="7" t="s">
        <v>106</v>
      </c>
      <c r="D36" s="7" t="s">
        <v>61</v>
      </c>
      <c r="E36" s="7" t="s">
        <v>236</v>
      </c>
      <c r="F36" s="7" t="s">
        <v>63</v>
      </c>
      <c r="G36" s="7"/>
      <c r="H36" s="7"/>
      <c r="I36" s="7"/>
      <c r="J36" s="8" t="s">
        <v>237</v>
      </c>
      <c r="K36" s="7"/>
      <c r="L36" s="8" t="s">
        <v>236</v>
      </c>
      <c r="M36" s="8" t="s">
        <v>238</v>
      </c>
      <c r="N36" s="7"/>
      <c r="O36" s="7" t="s">
        <v>59</v>
      </c>
      <c r="P36" s="7"/>
      <c r="Q36" s="7" t="s">
        <v>59</v>
      </c>
      <c r="R36" s="7" t="s">
        <v>59</v>
      </c>
      <c r="S36" s="7"/>
    </row>
    <row r="37" customFormat="false" ht="15" hidden="false" customHeight="false" outlineLevel="0" collapsed="false">
      <c r="A37" s="7" t="s">
        <v>239</v>
      </c>
      <c r="B37" s="7" t="n">
        <v>1</v>
      </c>
      <c r="C37" s="7" t="s">
        <v>92</v>
      </c>
      <c r="D37" s="7" t="s">
        <v>178</v>
      </c>
      <c r="E37" s="7" t="s">
        <v>240</v>
      </c>
      <c r="F37" s="7" t="s">
        <v>180</v>
      </c>
      <c r="G37" s="7"/>
      <c r="H37" s="7"/>
      <c r="I37" s="7"/>
      <c r="J37" s="8" t="s">
        <v>241</v>
      </c>
      <c r="K37" s="7"/>
      <c r="L37" s="8" t="s">
        <v>242</v>
      </c>
      <c r="M37" s="8" t="s">
        <v>243</v>
      </c>
      <c r="N37" s="7"/>
      <c r="O37" s="7" t="s">
        <v>59</v>
      </c>
      <c r="P37" s="7"/>
      <c r="Q37" s="7" t="s">
        <v>59</v>
      </c>
      <c r="R37" s="7" t="s">
        <v>59</v>
      </c>
      <c r="S37" s="7"/>
    </row>
    <row r="38" customFormat="false" ht="15" hidden="false" customHeight="false" outlineLevel="0" collapsed="false">
      <c r="A38" s="7" t="s">
        <v>244</v>
      </c>
      <c r="B38" s="7" t="n">
        <v>1</v>
      </c>
      <c r="C38" s="7" t="s">
        <v>68</v>
      </c>
      <c r="D38" s="7" t="s">
        <v>51</v>
      </c>
      <c r="E38" s="7" t="s">
        <v>245</v>
      </c>
      <c r="F38" s="7" t="s">
        <v>53</v>
      </c>
      <c r="G38" s="7" t="s">
        <v>74</v>
      </c>
      <c r="H38" s="7" t="s">
        <v>246</v>
      </c>
      <c r="I38" s="7"/>
      <c r="J38" s="8" t="s">
        <v>247</v>
      </c>
      <c r="K38" s="7"/>
      <c r="L38" s="8" t="s">
        <v>245</v>
      </c>
      <c r="M38" s="8" t="s">
        <v>248</v>
      </c>
      <c r="N38" s="7"/>
      <c r="O38" s="7" t="s">
        <v>59</v>
      </c>
      <c r="P38" s="7"/>
      <c r="Q38" s="7" t="s">
        <v>59</v>
      </c>
      <c r="R38" s="7" t="s">
        <v>59</v>
      </c>
      <c r="S38" s="7"/>
    </row>
    <row r="39" customFormat="false" ht="15" hidden="false" customHeight="false" outlineLevel="0" collapsed="false">
      <c r="A39" s="7" t="s">
        <v>249</v>
      </c>
      <c r="B39" s="7" t="n">
        <v>1</v>
      </c>
      <c r="C39" s="7" t="s">
        <v>68</v>
      </c>
      <c r="D39" s="7" t="s">
        <v>61</v>
      </c>
      <c r="E39" s="7" t="s">
        <v>250</v>
      </c>
      <c r="F39" s="7" t="s">
        <v>63</v>
      </c>
      <c r="G39" s="7"/>
      <c r="H39" s="7"/>
      <c r="I39" s="7"/>
      <c r="J39" s="8" t="s">
        <v>251</v>
      </c>
      <c r="K39" s="7"/>
      <c r="L39" s="8" t="s">
        <v>252</v>
      </c>
      <c r="M39" s="8" t="s">
        <v>253</v>
      </c>
      <c r="N39" s="7"/>
      <c r="O39" s="7" t="s">
        <v>59</v>
      </c>
      <c r="P39" s="7"/>
      <c r="Q39" s="7" t="s">
        <v>59</v>
      </c>
      <c r="R39" s="7" t="s">
        <v>59</v>
      </c>
      <c r="S39" s="7"/>
    </row>
    <row r="40" customFormat="false" ht="15" hidden="false" customHeight="false" outlineLevel="0" collapsed="false">
      <c r="A40" s="7" t="s">
        <v>254</v>
      </c>
      <c r="B40" s="7" t="n">
        <v>1</v>
      </c>
      <c r="C40" s="7" t="s">
        <v>50</v>
      </c>
      <c r="D40" s="7" t="s">
        <v>61</v>
      </c>
      <c r="E40" s="7" t="s">
        <v>255</v>
      </c>
      <c r="F40" s="7" t="s">
        <v>63</v>
      </c>
      <c r="G40" s="7"/>
      <c r="H40" s="7"/>
      <c r="I40" s="7"/>
      <c r="J40" s="8" t="s">
        <v>256</v>
      </c>
      <c r="K40" s="7"/>
      <c r="L40" s="8" t="s">
        <v>257</v>
      </c>
      <c r="M40" s="8" t="s">
        <v>258</v>
      </c>
      <c r="N40" s="7"/>
      <c r="O40" s="7" t="s">
        <v>59</v>
      </c>
      <c r="P40" s="7"/>
      <c r="Q40" s="7" t="s">
        <v>59</v>
      </c>
      <c r="R40" s="7" t="s">
        <v>59</v>
      </c>
      <c r="S40" s="7"/>
    </row>
    <row r="41" customFormat="false" ht="15" hidden="false" customHeight="false" outlineLevel="0" collapsed="false">
      <c r="A41" s="7" t="s">
        <v>259</v>
      </c>
      <c r="B41" s="7" t="n">
        <v>1</v>
      </c>
      <c r="C41" s="7" t="s">
        <v>92</v>
      </c>
      <c r="D41" s="7" t="s">
        <v>147</v>
      </c>
      <c r="E41" s="7" t="s">
        <v>260</v>
      </c>
      <c r="F41" s="7" t="s">
        <v>149</v>
      </c>
      <c r="G41" s="7"/>
      <c r="H41" s="7"/>
      <c r="I41" s="7"/>
      <c r="J41" s="8" t="s">
        <v>261</v>
      </c>
      <c r="K41" s="7"/>
      <c r="L41" s="8" t="s">
        <v>262</v>
      </c>
      <c r="M41" s="8" t="s">
        <v>263</v>
      </c>
      <c r="N41" s="7"/>
      <c r="O41" s="7" t="s">
        <v>59</v>
      </c>
      <c r="P41" s="7"/>
      <c r="Q41" s="7" t="s">
        <v>59</v>
      </c>
      <c r="R41" s="7" t="s">
        <v>59</v>
      </c>
      <c r="S41" s="7"/>
    </row>
    <row r="42" customFormat="false" ht="15" hidden="false" customHeight="false" outlineLevel="0" collapsed="false">
      <c r="A42" s="7" t="s">
        <v>264</v>
      </c>
      <c r="B42" s="7" t="n">
        <v>2</v>
      </c>
      <c r="C42" s="7" t="s">
        <v>106</v>
      </c>
      <c r="D42" s="7" t="s">
        <v>61</v>
      </c>
      <c r="E42" s="7" t="s">
        <v>265</v>
      </c>
      <c r="F42" s="7" t="s">
        <v>63</v>
      </c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</row>
    <row r="43" customFormat="false" ht="15" hidden="false" customHeight="false" outlineLevel="0" collapsed="false">
      <c r="A43" s="7" t="s">
        <v>266</v>
      </c>
      <c r="B43" s="7" t="n">
        <v>2</v>
      </c>
      <c r="C43" s="7" t="s">
        <v>92</v>
      </c>
      <c r="D43" s="7" t="s">
        <v>51</v>
      </c>
      <c r="E43" s="7" t="s">
        <v>267</v>
      </c>
      <c r="F43" s="7" t="s">
        <v>53</v>
      </c>
      <c r="G43" s="7" t="s">
        <v>94</v>
      </c>
      <c r="H43" s="7" t="s">
        <v>268</v>
      </c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</row>
    <row r="44" customFormat="false" ht="15" hidden="false" customHeight="false" outlineLevel="0" collapsed="false">
      <c r="A44" s="7" t="s">
        <v>269</v>
      </c>
      <c r="B44" s="7" t="n">
        <v>2</v>
      </c>
      <c r="C44" s="7" t="s">
        <v>106</v>
      </c>
      <c r="D44" s="7" t="s">
        <v>61</v>
      </c>
      <c r="E44" s="7" t="s">
        <v>270</v>
      </c>
      <c r="F44" s="7" t="s">
        <v>63</v>
      </c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</row>
    <row r="45" customFormat="false" ht="15" hidden="false" customHeight="false" outlineLevel="0" collapsed="false">
      <c r="A45" s="7" t="s">
        <v>271</v>
      </c>
      <c r="B45" s="7" t="n">
        <v>2</v>
      </c>
      <c r="C45" s="7" t="s">
        <v>68</v>
      </c>
      <c r="D45" s="7" t="s">
        <v>61</v>
      </c>
      <c r="E45" s="7" t="s">
        <v>272</v>
      </c>
      <c r="F45" s="7" t="s">
        <v>63</v>
      </c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</row>
    <row r="46" customFormat="false" ht="15" hidden="false" customHeight="false" outlineLevel="0" collapsed="false">
      <c r="A46" s="7" t="s">
        <v>273</v>
      </c>
      <c r="B46" s="7" t="n">
        <v>2</v>
      </c>
      <c r="C46" s="7" t="s">
        <v>92</v>
      </c>
      <c r="D46" s="7" t="s">
        <v>147</v>
      </c>
      <c r="E46" s="7" t="s">
        <v>274</v>
      </c>
      <c r="F46" s="7" t="s">
        <v>149</v>
      </c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</row>
    <row r="47" customFormat="false" ht="15" hidden="false" customHeight="false" outlineLevel="0" collapsed="false">
      <c r="A47" s="7" t="s">
        <v>275</v>
      </c>
      <c r="B47" s="7" t="n">
        <v>2</v>
      </c>
      <c r="C47" s="7" t="s">
        <v>106</v>
      </c>
      <c r="D47" s="7" t="s">
        <v>61</v>
      </c>
      <c r="E47" s="7" t="s">
        <v>276</v>
      </c>
      <c r="F47" s="7" t="s">
        <v>63</v>
      </c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</row>
    <row r="48" customFormat="false" ht="15" hidden="false" customHeight="false" outlineLevel="0" collapsed="false">
      <c r="A48" s="7" t="s">
        <v>277</v>
      </c>
      <c r="B48" s="7" t="n">
        <v>2</v>
      </c>
      <c r="C48" s="7" t="s">
        <v>68</v>
      </c>
      <c r="D48" s="7" t="s">
        <v>61</v>
      </c>
      <c r="E48" s="7" t="s">
        <v>278</v>
      </c>
      <c r="F48" s="7" t="s">
        <v>63</v>
      </c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</row>
    <row r="49" customFormat="false" ht="15" hidden="false" customHeight="false" outlineLevel="0" collapsed="false">
      <c r="A49" s="7" t="s">
        <v>279</v>
      </c>
      <c r="B49" s="7" t="n">
        <v>2</v>
      </c>
      <c r="C49" s="7" t="s">
        <v>92</v>
      </c>
      <c r="D49" s="7" t="s">
        <v>178</v>
      </c>
      <c r="E49" s="7" t="s">
        <v>280</v>
      </c>
      <c r="F49" s="7" t="s">
        <v>180</v>
      </c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</row>
    <row r="50" customFormat="false" ht="15" hidden="false" customHeight="false" outlineLevel="0" collapsed="false">
      <c r="A50" s="7" t="s">
        <v>281</v>
      </c>
      <c r="B50" s="7" t="n">
        <v>2</v>
      </c>
      <c r="C50" s="7" t="s">
        <v>68</v>
      </c>
      <c r="D50" s="7" t="s">
        <v>51</v>
      </c>
      <c r="E50" s="7" t="s">
        <v>282</v>
      </c>
      <c r="F50" s="7" t="s">
        <v>53</v>
      </c>
      <c r="G50" s="7" t="s">
        <v>74</v>
      </c>
      <c r="H50" s="7" t="s">
        <v>283</v>
      </c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</row>
    <row r="51" customFormat="false" ht="15" hidden="false" customHeight="false" outlineLevel="0" collapsed="false">
      <c r="A51" s="7" t="s">
        <v>284</v>
      </c>
      <c r="B51" s="7" t="n">
        <v>2</v>
      </c>
      <c r="C51" s="7" t="s">
        <v>68</v>
      </c>
      <c r="D51" s="7" t="s">
        <v>61</v>
      </c>
      <c r="E51" s="7" t="s">
        <v>285</v>
      </c>
      <c r="F51" s="7" t="s">
        <v>63</v>
      </c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</row>
    <row r="52" customFormat="false" ht="15" hidden="false" customHeight="false" outlineLevel="0" collapsed="false">
      <c r="A52" s="7" t="s">
        <v>286</v>
      </c>
      <c r="B52" s="7" t="n">
        <v>2</v>
      </c>
      <c r="C52" s="7" t="s">
        <v>68</v>
      </c>
      <c r="D52" s="7" t="s">
        <v>61</v>
      </c>
      <c r="E52" s="7" t="s">
        <v>287</v>
      </c>
      <c r="F52" s="7" t="s">
        <v>63</v>
      </c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</row>
    <row r="53" customFormat="false" ht="15" hidden="false" customHeight="false" outlineLevel="0" collapsed="false">
      <c r="A53" s="7" t="s">
        <v>288</v>
      </c>
      <c r="B53" s="7" t="n">
        <v>2</v>
      </c>
      <c r="C53" s="7" t="s">
        <v>92</v>
      </c>
      <c r="D53" s="7" t="s">
        <v>61</v>
      </c>
      <c r="E53" s="7" t="s">
        <v>289</v>
      </c>
      <c r="F53" s="7" t="s">
        <v>63</v>
      </c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</row>
    <row r="54" customFormat="false" ht="15" hidden="false" customHeight="false" outlineLevel="0" collapsed="false">
      <c r="A54" s="7" t="s">
        <v>290</v>
      </c>
      <c r="B54" s="7" t="n">
        <v>2</v>
      </c>
      <c r="C54" s="7" t="s">
        <v>50</v>
      </c>
      <c r="D54" s="7" t="s">
        <v>61</v>
      </c>
      <c r="E54" s="7" t="s">
        <v>291</v>
      </c>
      <c r="F54" s="7" t="s">
        <v>63</v>
      </c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</row>
    <row r="55" customFormat="false" ht="15" hidden="false" customHeight="false" outlineLevel="0" collapsed="false">
      <c r="A55" s="7" t="s">
        <v>292</v>
      </c>
      <c r="B55" s="7" t="n">
        <v>2</v>
      </c>
      <c r="C55" s="7" t="s">
        <v>50</v>
      </c>
      <c r="D55" s="7" t="s">
        <v>80</v>
      </c>
      <c r="E55" s="7" t="s">
        <v>293</v>
      </c>
      <c r="F55" s="7" t="s">
        <v>82</v>
      </c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</row>
    <row r="56" customFormat="false" ht="15" hidden="false" customHeight="false" outlineLevel="0" collapsed="false">
      <c r="A56" s="7" t="s">
        <v>294</v>
      </c>
      <c r="B56" s="7" t="n">
        <v>2</v>
      </c>
      <c r="C56" s="7" t="s">
        <v>92</v>
      </c>
      <c r="D56" s="7" t="s">
        <v>147</v>
      </c>
      <c r="E56" s="7" t="s">
        <v>295</v>
      </c>
      <c r="F56" s="7" t="s">
        <v>149</v>
      </c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</row>
    <row r="57" customFormat="false" ht="15" hidden="false" customHeight="false" outlineLevel="0" collapsed="false">
      <c r="A57" s="7" t="s">
        <v>296</v>
      </c>
      <c r="B57" s="7" t="n">
        <v>2</v>
      </c>
      <c r="C57" s="7" t="s">
        <v>92</v>
      </c>
      <c r="D57" s="7" t="s">
        <v>61</v>
      </c>
      <c r="E57" s="7" t="s">
        <v>297</v>
      </c>
      <c r="F57" s="7" t="s">
        <v>63</v>
      </c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</row>
    <row r="58" customFormat="false" ht="15" hidden="false" customHeight="false" outlineLevel="0" collapsed="false">
      <c r="A58" s="7" t="s">
        <v>298</v>
      </c>
      <c r="B58" s="7" t="n">
        <v>2</v>
      </c>
      <c r="C58" s="7" t="s">
        <v>50</v>
      </c>
      <c r="D58" s="7" t="s">
        <v>61</v>
      </c>
      <c r="E58" s="7" t="s">
        <v>299</v>
      </c>
      <c r="F58" s="7" t="s">
        <v>63</v>
      </c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</row>
    <row r="59" customFormat="false" ht="15" hidden="false" customHeight="false" outlineLevel="0" collapsed="false">
      <c r="A59" s="7" t="s">
        <v>300</v>
      </c>
      <c r="B59" s="7" t="n">
        <v>2</v>
      </c>
      <c r="C59" s="7" t="s">
        <v>50</v>
      </c>
      <c r="D59" s="7" t="s">
        <v>61</v>
      </c>
      <c r="E59" s="7" t="s">
        <v>301</v>
      </c>
      <c r="F59" s="7" t="s">
        <v>63</v>
      </c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</row>
    <row r="60" customFormat="false" ht="15" hidden="false" customHeight="false" outlineLevel="0" collapsed="false">
      <c r="A60" s="7" t="s">
        <v>302</v>
      </c>
      <c r="B60" s="7" t="n">
        <v>2</v>
      </c>
      <c r="C60" s="7" t="s">
        <v>68</v>
      </c>
      <c r="D60" s="7" t="s">
        <v>61</v>
      </c>
      <c r="E60" s="7" t="s">
        <v>303</v>
      </c>
      <c r="F60" s="7" t="s">
        <v>63</v>
      </c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</row>
    <row r="61" customFormat="false" ht="15" hidden="false" customHeight="false" outlineLevel="0" collapsed="false">
      <c r="A61" s="7" t="s">
        <v>304</v>
      </c>
      <c r="B61" s="7" t="n">
        <v>2</v>
      </c>
      <c r="C61" s="7" t="s">
        <v>92</v>
      </c>
      <c r="D61" s="7" t="s">
        <v>147</v>
      </c>
      <c r="E61" s="7" t="s">
        <v>305</v>
      </c>
      <c r="F61" s="7" t="s">
        <v>149</v>
      </c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</row>
    <row r="62" customFormat="false" ht="15" hidden="false" customHeight="false" outlineLevel="0" collapsed="false">
      <c r="A62" s="7" t="s">
        <v>306</v>
      </c>
      <c r="B62" s="7" t="n">
        <v>2</v>
      </c>
      <c r="C62" s="7" t="s">
        <v>50</v>
      </c>
      <c r="D62" s="7" t="s">
        <v>51</v>
      </c>
      <c r="E62" s="7" t="s">
        <v>307</v>
      </c>
      <c r="F62" s="7" t="s">
        <v>53</v>
      </c>
      <c r="G62" s="7" t="s">
        <v>54</v>
      </c>
      <c r="H62" s="7" t="s">
        <v>308</v>
      </c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</row>
    <row r="63" customFormat="false" ht="15" hidden="false" customHeight="false" outlineLevel="0" collapsed="false">
      <c r="A63" s="7" t="s">
        <v>309</v>
      </c>
      <c r="B63" s="7" t="n">
        <v>2</v>
      </c>
      <c r="C63" s="7" t="s">
        <v>106</v>
      </c>
      <c r="D63" s="7" t="s">
        <v>61</v>
      </c>
      <c r="E63" s="7" t="s">
        <v>310</v>
      </c>
      <c r="F63" s="7" t="s">
        <v>63</v>
      </c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</row>
    <row r="64" customFormat="false" ht="15" hidden="false" customHeight="false" outlineLevel="0" collapsed="false">
      <c r="A64" s="7" t="s">
        <v>311</v>
      </c>
      <c r="B64" s="7" t="n">
        <v>2</v>
      </c>
      <c r="C64" s="7" t="s">
        <v>68</v>
      </c>
      <c r="D64" s="7" t="s">
        <v>61</v>
      </c>
      <c r="E64" s="7" t="s">
        <v>312</v>
      </c>
      <c r="F64" s="7" t="s">
        <v>63</v>
      </c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</row>
    <row r="65" customFormat="false" ht="15" hidden="false" customHeight="false" outlineLevel="0" collapsed="false">
      <c r="A65" s="7" t="s">
        <v>313</v>
      </c>
      <c r="B65" s="7" t="n">
        <v>2</v>
      </c>
      <c r="C65" s="7" t="s">
        <v>68</v>
      </c>
      <c r="D65" s="7" t="s">
        <v>80</v>
      </c>
      <c r="E65" s="7" t="s">
        <v>314</v>
      </c>
      <c r="F65" s="7" t="s">
        <v>82</v>
      </c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</row>
    <row r="66" customFormat="false" ht="15" hidden="false" customHeight="false" outlineLevel="0" collapsed="false">
      <c r="A66" s="7" t="s">
        <v>315</v>
      </c>
      <c r="B66" s="7" t="n">
        <v>2</v>
      </c>
      <c r="C66" s="7" t="s">
        <v>106</v>
      </c>
      <c r="D66" s="7" t="s">
        <v>51</v>
      </c>
      <c r="E66" s="7" t="s">
        <v>316</v>
      </c>
      <c r="F66" s="7" t="s">
        <v>53</v>
      </c>
      <c r="G66" s="7" t="s">
        <v>118</v>
      </c>
      <c r="H66" s="7" t="s">
        <v>317</v>
      </c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</row>
    <row r="67" customFormat="false" ht="15" hidden="false" customHeight="false" outlineLevel="0" collapsed="false">
      <c r="A67" s="7" t="s">
        <v>318</v>
      </c>
      <c r="B67" s="7" t="n">
        <v>2</v>
      </c>
      <c r="C67" s="7" t="s">
        <v>106</v>
      </c>
      <c r="D67" s="7" t="s">
        <v>61</v>
      </c>
      <c r="E67" s="7" t="s">
        <v>319</v>
      </c>
      <c r="F67" s="7" t="s">
        <v>63</v>
      </c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</row>
    <row r="68" customFormat="false" ht="23.85" hidden="false" customHeight="false" outlineLevel="0" collapsed="false">
      <c r="A68" s="7" t="s">
        <v>320</v>
      </c>
      <c r="B68" s="7" t="n">
        <v>2</v>
      </c>
      <c r="C68" s="7" t="s">
        <v>92</v>
      </c>
      <c r="D68" s="7" t="s">
        <v>51</v>
      </c>
      <c r="E68" s="7" t="s">
        <v>321</v>
      </c>
      <c r="F68" s="7" t="s">
        <v>53</v>
      </c>
      <c r="G68" s="7" t="s">
        <v>94</v>
      </c>
      <c r="H68" s="7" t="s">
        <v>322</v>
      </c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</row>
    <row r="69" customFormat="false" ht="15" hidden="false" customHeight="false" outlineLevel="0" collapsed="false">
      <c r="A69" s="7" t="s">
        <v>323</v>
      </c>
      <c r="B69" s="7" t="n">
        <v>2</v>
      </c>
      <c r="C69" s="7" t="s">
        <v>106</v>
      </c>
      <c r="D69" s="7" t="s">
        <v>51</v>
      </c>
      <c r="E69" s="7" t="s">
        <v>324</v>
      </c>
      <c r="F69" s="7" t="s">
        <v>53</v>
      </c>
      <c r="G69" s="7" t="s">
        <v>118</v>
      </c>
      <c r="H69" s="7" t="s">
        <v>325</v>
      </c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</row>
    <row r="70" customFormat="false" ht="15" hidden="false" customHeight="false" outlineLevel="0" collapsed="false">
      <c r="A70" s="7" t="s">
        <v>326</v>
      </c>
      <c r="B70" s="7" t="n">
        <v>2</v>
      </c>
      <c r="C70" s="7" t="s">
        <v>106</v>
      </c>
      <c r="D70" s="7" t="s">
        <v>80</v>
      </c>
      <c r="E70" s="7" t="s">
        <v>327</v>
      </c>
      <c r="F70" s="7" t="s">
        <v>82</v>
      </c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</row>
    <row r="71" customFormat="false" ht="15" hidden="false" customHeight="false" outlineLevel="0" collapsed="false">
      <c r="A71" s="7" t="s">
        <v>328</v>
      </c>
      <c r="B71" s="7" t="n">
        <v>2</v>
      </c>
      <c r="C71" s="7" t="s">
        <v>106</v>
      </c>
      <c r="D71" s="7" t="s">
        <v>80</v>
      </c>
      <c r="E71" s="7" t="s">
        <v>329</v>
      </c>
      <c r="F71" s="7" t="s">
        <v>82</v>
      </c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</row>
    <row r="72" customFormat="false" ht="15" hidden="false" customHeight="false" outlineLevel="0" collapsed="false">
      <c r="A72" s="7" t="s">
        <v>330</v>
      </c>
      <c r="B72" s="7" t="n">
        <v>2</v>
      </c>
      <c r="C72" s="7" t="s">
        <v>50</v>
      </c>
      <c r="D72" s="7" t="s">
        <v>178</v>
      </c>
      <c r="E72" s="7" t="s">
        <v>331</v>
      </c>
      <c r="F72" s="7" t="s">
        <v>180</v>
      </c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</row>
    <row r="73" customFormat="false" ht="15" hidden="false" customHeight="false" outlineLevel="0" collapsed="false">
      <c r="A73" s="7" t="s">
        <v>332</v>
      </c>
      <c r="B73" s="7" t="n">
        <v>2</v>
      </c>
      <c r="C73" s="7" t="s">
        <v>50</v>
      </c>
      <c r="D73" s="7" t="s">
        <v>51</v>
      </c>
      <c r="E73" s="7" t="s">
        <v>333</v>
      </c>
      <c r="F73" s="7" t="s">
        <v>53</v>
      </c>
      <c r="G73" s="7" t="s">
        <v>54</v>
      </c>
      <c r="H73" s="7" t="s">
        <v>334</v>
      </c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</row>
    <row r="74" customFormat="false" ht="15" hidden="false" customHeight="false" outlineLevel="0" collapsed="false">
      <c r="A74" s="7" t="s">
        <v>335</v>
      </c>
      <c r="B74" s="7" t="n">
        <v>2</v>
      </c>
      <c r="C74" s="7" t="s">
        <v>92</v>
      </c>
      <c r="D74" s="7" t="s">
        <v>80</v>
      </c>
      <c r="E74" s="7" t="s">
        <v>336</v>
      </c>
      <c r="F74" s="7" t="s">
        <v>82</v>
      </c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</row>
    <row r="75" customFormat="false" ht="15" hidden="false" customHeight="false" outlineLevel="0" collapsed="false">
      <c r="A75" s="7" t="s">
        <v>337</v>
      </c>
      <c r="B75" s="7" t="n">
        <v>2</v>
      </c>
      <c r="C75" s="7" t="s">
        <v>50</v>
      </c>
      <c r="D75" s="7" t="s">
        <v>80</v>
      </c>
      <c r="E75" s="7" t="s">
        <v>338</v>
      </c>
      <c r="F75" s="7" t="s">
        <v>82</v>
      </c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</row>
    <row r="76" customFormat="false" ht="15" hidden="false" customHeight="false" outlineLevel="0" collapsed="false">
      <c r="A76" s="7" t="s">
        <v>339</v>
      </c>
      <c r="B76" s="7" t="n">
        <v>2</v>
      </c>
      <c r="C76" s="7" t="s">
        <v>50</v>
      </c>
      <c r="D76" s="7" t="s">
        <v>178</v>
      </c>
      <c r="E76" s="7" t="s">
        <v>340</v>
      </c>
      <c r="F76" s="7" t="s">
        <v>180</v>
      </c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</row>
    <row r="77" customFormat="false" ht="15" hidden="false" customHeight="false" outlineLevel="0" collapsed="false">
      <c r="A77" s="7" t="s">
        <v>341</v>
      </c>
      <c r="B77" s="7" t="n">
        <v>2</v>
      </c>
      <c r="C77" s="7" t="s">
        <v>68</v>
      </c>
      <c r="D77" s="7" t="s">
        <v>178</v>
      </c>
      <c r="E77" s="7" t="s">
        <v>342</v>
      </c>
      <c r="F77" s="7" t="s">
        <v>180</v>
      </c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</row>
    <row r="78" customFormat="false" ht="15" hidden="false" customHeight="false" outlineLevel="0" collapsed="false">
      <c r="A78" s="7" t="s">
        <v>343</v>
      </c>
      <c r="B78" s="7" t="n">
        <v>2</v>
      </c>
      <c r="C78" s="7" t="s">
        <v>50</v>
      </c>
      <c r="D78" s="7" t="s">
        <v>61</v>
      </c>
      <c r="E78" s="7" t="s">
        <v>344</v>
      </c>
      <c r="F78" s="7" t="s">
        <v>63</v>
      </c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</row>
    <row r="79" customFormat="false" ht="15" hidden="false" customHeight="false" outlineLevel="0" collapsed="false">
      <c r="A79" s="7" t="s">
        <v>345</v>
      </c>
      <c r="B79" s="7" t="n">
        <v>2</v>
      </c>
      <c r="C79" s="7" t="s">
        <v>92</v>
      </c>
      <c r="D79" s="7" t="s">
        <v>61</v>
      </c>
      <c r="E79" s="7" t="s">
        <v>346</v>
      </c>
      <c r="F79" s="7" t="s">
        <v>63</v>
      </c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</row>
    <row r="80" customFormat="false" ht="15" hidden="false" customHeight="false" outlineLevel="0" collapsed="false">
      <c r="A80" s="7" t="s">
        <v>347</v>
      </c>
      <c r="B80" s="7" t="n">
        <v>2</v>
      </c>
      <c r="C80" s="7" t="s">
        <v>106</v>
      </c>
      <c r="D80" s="7" t="s">
        <v>178</v>
      </c>
      <c r="E80" s="7" t="s">
        <v>348</v>
      </c>
      <c r="F80" s="7" t="s">
        <v>180</v>
      </c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</row>
    <row r="81" customFormat="false" ht="15" hidden="false" customHeight="false" outlineLevel="0" collapsed="false">
      <c r="A81" s="7" t="s">
        <v>349</v>
      </c>
      <c r="B81" s="7" t="n">
        <v>2</v>
      </c>
      <c r="C81" s="7" t="s">
        <v>68</v>
      </c>
      <c r="D81" s="7" t="s">
        <v>51</v>
      </c>
      <c r="E81" s="7" t="s">
        <v>350</v>
      </c>
      <c r="F81" s="7" t="s">
        <v>53</v>
      </c>
      <c r="G81" s="7" t="s">
        <v>74</v>
      </c>
      <c r="H81" s="7" t="s">
        <v>351</v>
      </c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</row>
    <row r="82" customFormat="false" ht="15" hidden="false" customHeight="false" outlineLevel="0" collapsed="false">
      <c r="A82" s="7" t="s">
        <v>352</v>
      </c>
      <c r="B82" s="7" t="n">
        <v>3</v>
      </c>
      <c r="C82" s="7" t="s">
        <v>50</v>
      </c>
      <c r="D82" s="7" t="s">
        <v>61</v>
      </c>
      <c r="E82" s="7" t="s">
        <v>353</v>
      </c>
      <c r="F82" s="7" t="s">
        <v>63</v>
      </c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</row>
    <row r="83" customFormat="false" ht="15" hidden="false" customHeight="false" outlineLevel="0" collapsed="false">
      <c r="A83" s="7" t="s">
        <v>354</v>
      </c>
      <c r="B83" s="7" t="n">
        <v>3</v>
      </c>
      <c r="C83" s="7" t="s">
        <v>50</v>
      </c>
      <c r="D83" s="7" t="s">
        <v>51</v>
      </c>
      <c r="E83" s="7" t="s">
        <v>355</v>
      </c>
      <c r="F83" s="7" t="s">
        <v>53</v>
      </c>
      <c r="G83" s="7" t="s">
        <v>54</v>
      </c>
      <c r="H83" s="7" t="s">
        <v>356</v>
      </c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</row>
    <row r="84" customFormat="false" ht="15" hidden="false" customHeight="false" outlineLevel="0" collapsed="false">
      <c r="A84" s="7" t="s">
        <v>357</v>
      </c>
      <c r="B84" s="7" t="n">
        <v>3</v>
      </c>
      <c r="C84" s="7" t="s">
        <v>106</v>
      </c>
      <c r="D84" s="7" t="s">
        <v>61</v>
      </c>
      <c r="E84" s="7" t="s">
        <v>358</v>
      </c>
      <c r="F84" s="7" t="s">
        <v>63</v>
      </c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</row>
    <row r="85" customFormat="false" ht="23.85" hidden="false" customHeight="false" outlineLevel="0" collapsed="false">
      <c r="A85" s="7" t="s">
        <v>359</v>
      </c>
      <c r="B85" s="7" t="n">
        <v>3</v>
      </c>
      <c r="C85" s="7" t="s">
        <v>92</v>
      </c>
      <c r="D85" s="7" t="s">
        <v>51</v>
      </c>
      <c r="E85" s="7" t="s">
        <v>360</v>
      </c>
      <c r="F85" s="7" t="s">
        <v>53</v>
      </c>
      <c r="G85" s="7" t="s">
        <v>94</v>
      </c>
      <c r="H85" s="7" t="s">
        <v>361</v>
      </c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</row>
    <row r="86" customFormat="false" ht="15" hidden="false" customHeight="false" outlineLevel="0" collapsed="false">
      <c r="A86" s="7" t="s">
        <v>362</v>
      </c>
      <c r="B86" s="7" t="n">
        <v>3</v>
      </c>
      <c r="C86" s="7" t="s">
        <v>92</v>
      </c>
      <c r="D86" s="7" t="s">
        <v>80</v>
      </c>
      <c r="E86" s="7" t="s">
        <v>363</v>
      </c>
      <c r="F86" s="7" t="s">
        <v>82</v>
      </c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</row>
    <row r="87" customFormat="false" ht="15" hidden="false" customHeight="false" outlineLevel="0" collapsed="false">
      <c r="A87" s="7" t="s">
        <v>364</v>
      </c>
      <c r="B87" s="7" t="n">
        <v>3</v>
      </c>
      <c r="C87" s="7" t="s">
        <v>92</v>
      </c>
      <c r="D87" s="7" t="s">
        <v>61</v>
      </c>
      <c r="E87" s="7" t="s">
        <v>365</v>
      </c>
      <c r="F87" s="7" t="s">
        <v>63</v>
      </c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</row>
    <row r="88" customFormat="false" ht="15" hidden="false" customHeight="false" outlineLevel="0" collapsed="false">
      <c r="A88" s="7" t="s">
        <v>366</v>
      </c>
      <c r="B88" s="7" t="n">
        <v>3</v>
      </c>
      <c r="C88" s="7" t="s">
        <v>50</v>
      </c>
      <c r="D88" s="7" t="s">
        <v>178</v>
      </c>
      <c r="E88" s="7" t="s">
        <v>367</v>
      </c>
      <c r="F88" s="7" t="s">
        <v>180</v>
      </c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</row>
    <row r="89" customFormat="false" ht="15" hidden="false" customHeight="false" outlineLevel="0" collapsed="false">
      <c r="A89" s="7" t="s">
        <v>368</v>
      </c>
      <c r="B89" s="7" t="n">
        <v>3</v>
      </c>
      <c r="C89" s="7" t="s">
        <v>68</v>
      </c>
      <c r="D89" s="7" t="s">
        <v>61</v>
      </c>
      <c r="E89" s="7" t="s">
        <v>369</v>
      </c>
      <c r="F89" s="7" t="s">
        <v>63</v>
      </c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</row>
    <row r="90" customFormat="false" ht="15" hidden="false" customHeight="false" outlineLevel="0" collapsed="false">
      <c r="A90" s="7" t="s">
        <v>370</v>
      </c>
      <c r="B90" s="7" t="n">
        <v>3</v>
      </c>
      <c r="C90" s="7" t="s">
        <v>50</v>
      </c>
      <c r="D90" s="7" t="s">
        <v>61</v>
      </c>
      <c r="E90" s="7" t="s">
        <v>371</v>
      </c>
      <c r="F90" s="7" t="s">
        <v>63</v>
      </c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</row>
    <row r="91" customFormat="false" ht="15" hidden="false" customHeight="false" outlineLevel="0" collapsed="false">
      <c r="A91" s="7" t="s">
        <v>372</v>
      </c>
      <c r="B91" s="7" t="n">
        <v>3</v>
      </c>
      <c r="C91" s="7" t="s">
        <v>50</v>
      </c>
      <c r="D91" s="7" t="s">
        <v>61</v>
      </c>
      <c r="E91" s="7" t="s">
        <v>373</v>
      </c>
      <c r="F91" s="7" t="s">
        <v>63</v>
      </c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</row>
    <row r="92" customFormat="false" ht="15" hidden="false" customHeight="false" outlineLevel="0" collapsed="false">
      <c r="A92" s="7" t="s">
        <v>374</v>
      </c>
      <c r="B92" s="7" t="n">
        <v>3</v>
      </c>
      <c r="C92" s="7" t="s">
        <v>106</v>
      </c>
      <c r="D92" s="7" t="s">
        <v>61</v>
      </c>
      <c r="E92" s="7" t="s">
        <v>375</v>
      </c>
      <c r="F92" s="7" t="s">
        <v>63</v>
      </c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</row>
    <row r="93" customFormat="false" ht="15" hidden="false" customHeight="false" outlineLevel="0" collapsed="false">
      <c r="A93" s="7" t="s">
        <v>376</v>
      </c>
      <c r="B93" s="7" t="n">
        <v>3</v>
      </c>
      <c r="C93" s="7" t="s">
        <v>106</v>
      </c>
      <c r="D93" s="7" t="s">
        <v>80</v>
      </c>
      <c r="E93" s="7" t="s">
        <v>377</v>
      </c>
      <c r="F93" s="7" t="s">
        <v>82</v>
      </c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</row>
    <row r="94" customFormat="false" ht="15" hidden="false" customHeight="false" outlineLevel="0" collapsed="false">
      <c r="A94" s="7" t="s">
        <v>378</v>
      </c>
      <c r="B94" s="7" t="n">
        <v>3</v>
      </c>
      <c r="C94" s="7" t="s">
        <v>68</v>
      </c>
      <c r="D94" s="7" t="s">
        <v>61</v>
      </c>
      <c r="E94" s="7" t="s">
        <v>379</v>
      </c>
      <c r="F94" s="7" t="s">
        <v>63</v>
      </c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</row>
    <row r="95" customFormat="false" ht="15" hidden="false" customHeight="false" outlineLevel="0" collapsed="false">
      <c r="A95" s="7" t="s">
        <v>380</v>
      </c>
      <c r="B95" s="7" t="n">
        <v>3</v>
      </c>
      <c r="C95" s="7" t="s">
        <v>92</v>
      </c>
      <c r="D95" s="7" t="s">
        <v>147</v>
      </c>
      <c r="E95" s="7" t="s">
        <v>381</v>
      </c>
      <c r="F95" s="7" t="s">
        <v>149</v>
      </c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</row>
    <row r="96" customFormat="false" ht="15" hidden="false" customHeight="false" outlineLevel="0" collapsed="false">
      <c r="A96" s="7" t="s">
        <v>382</v>
      </c>
      <c r="B96" s="7" t="n">
        <v>3</v>
      </c>
      <c r="C96" s="7" t="s">
        <v>106</v>
      </c>
      <c r="D96" s="7" t="s">
        <v>80</v>
      </c>
      <c r="E96" s="7" t="s">
        <v>383</v>
      </c>
      <c r="F96" s="7" t="s">
        <v>82</v>
      </c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</row>
    <row r="97" customFormat="false" ht="15" hidden="false" customHeight="false" outlineLevel="0" collapsed="false">
      <c r="A97" s="7" t="s">
        <v>384</v>
      </c>
      <c r="B97" s="7" t="n">
        <v>3</v>
      </c>
      <c r="C97" s="7" t="s">
        <v>50</v>
      </c>
      <c r="D97" s="7" t="s">
        <v>80</v>
      </c>
      <c r="E97" s="7" t="s">
        <v>385</v>
      </c>
      <c r="F97" s="7" t="s">
        <v>82</v>
      </c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</row>
    <row r="98" customFormat="false" ht="15" hidden="false" customHeight="false" outlineLevel="0" collapsed="false">
      <c r="A98" s="7" t="s">
        <v>386</v>
      </c>
      <c r="B98" s="7" t="n">
        <v>3</v>
      </c>
      <c r="C98" s="7" t="s">
        <v>50</v>
      </c>
      <c r="D98" s="7" t="s">
        <v>178</v>
      </c>
      <c r="E98" s="7" t="s">
        <v>387</v>
      </c>
      <c r="F98" s="7" t="s">
        <v>180</v>
      </c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</row>
    <row r="99" customFormat="false" ht="15" hidden="false" customHeight="false" outlineLevel="0" collapsed="false">
      <c r="A99" s="7" t="s">
        <v>388</v>
      </c>
      <c r="B99" s="7" t="n">
        <v>3</v>
      </c>
      <c r="C99" s="7" t="s">
        <v>106</v>
      </c>
      <c r="D99" s="7" t="s">
        <v>61</v>
      </c>
      <c r="E99" s="7" t="s">
        <v>389</v>
      </c>
      <c r="F99" s="7" t="s">
        <v>63</v>
      </c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</row>
    <row r="100" customFormat="false" ht="15" hidden="false" customHeight="false" outlineLevel="0" collapsed="false">
      <c r="A100" s="7" t="s">
        <v>390</v>
      </c>
      <c r="B100" s="7" t="n">
        <v>3</v>
      </c>
      <c r="C100" s="7" t="s">
        <v>106</v>
      </c>
      <c r="D100" s="7" t="s">
        <v>51</v>
      </c>
      <c r="E100" s="7" t="s">
        <v>391</v>
      </c>
      <c r="F100" s="7" t="s">
        <v>53</v>
      </c>
      <c r="G100" s="7" t="s">
        <v>118</v>
      </c>
      <c r="H100" s="7" t="s">
        <v>392</v>
      </c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</row>
    <row r="101" customFormat="false" ht="15" hidden="false" customHeight="false" outlineLevel="0" collapsed="false">
      <c r="A101" s="7" t="s">
        <v>393</v>
      </c>
      <c r="B101" s="7" t="n">
        <v>3</v>
      </c>
      <c r="C101" s="7" t="s">
        <v>68</v>
      </c>
      <c r="D101" s="7" t="s">
        <v>51</v>
      </c>
      <c r="E101" s="7" t="s">
        <v>394</v>
      </c>
      <c r="F101" s="7" t="s">
        <v>53</v>
      </c>
      <c r="G101" s="7" t="s">
        <v>74</v>
      </c>
      <c r="H101" s="7" t="s">
        <v>395</v>
      </c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</row>
    <row r="102" customFormat="false" ht="15" hidden="false" customHeight="false" outlineLevel="0" collapsed="false">
      <c r="A102" s="7" t="s">
        <v>396</v>
      </c>
      <c r="B102" s="7" t="n">
        <v>3</v>
      </c>
      <c r="C102" s="7" t="s">
        <v>106</v>
      </c>
      <c r="D102" s="7" t="s">
        <v>61</v>
      </c>
      <c r="E102" s="7" t="s">
        <v>397</v>
      </c>
      <c r="F102" s="7" t="s">
        <v>63</v>
      </c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</row>
    <row r="103" customFormat="false" ht="15" hidden="false" customHeight="false" outlineLevel="0" collapsed="false">
      <c r="A103" s="7" t="s">
        <v>398</v>
      </c>
      <c r="B103" s="7" t="n">
        <v>3</v>
      </c>
      <c r="C103" s="7" t="s">
        <v>68</v>
      </c>
      <c r="D103" s="7" t="s">
        <v>80</v>
      </c>
      <c r="E103" s="7" t="s">
        <v>399</v>
      </c>
      <c r="F103" s="7" t="s">
        <v>82</v>
      </c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</row>
    <row r="104" customFormat="false" ht="15" hidden="false" customHeight="false" outlineLevel="0" collapsed="false">
      <c r="A104" s="7" t="s">
        <v>400</v>
      </c>
      <c r="B104" s="7" t="n">
        <v>3</v>
      </c>
      <c r="C104" s="7" t="s">
        <v>50</v>
      </c>
      <c r="D104" s="7" t="s">
        <v>61</v>
      </c>
      <c r="E104" s="7" t="s">
        <v>401</v>
      </c>
      <c r="F104" s="7" t="s">
        <v>63</v>
      </c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</row>
    <row r="105" customFormat="false" ht="23.85" hidden="false" customHeight="false" outlineLevel="0" collapsed="false">
      <c r="A105" s="7" t="s">
        <v>402</v>
      </c>
      <c r="B105" s="7" t="n">
        <v>3</v>
      </c>
      <c r="C105" s="7" t="s">
        <v>92</v>
      </c>
      <c r="D105" s="7" t="s">
        <v>51</v>
      </c>
      <c r="E105" s="7" t="s">
        <v>403</v>
      </c>
      <c r="F105" s="7" t="s">
        <v>53</v>
      </c>
      <c r="G105" s="7" t="s">
        <v>94</v>
      </c>
      <c r="H105" s="7" t="s">
        <v>404</v>
      </c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</row>
    <row r="106" customFormat="false" ht="15" hidden="false" customHeight="false" outlineLevel="0" collapsed="false">
      <c r="A106" s="7" t="s">
        <v>405</v>
      </c>
      <c r="B106" s="7" t="n">
        <v>3</v>
      </c>
      <c r="C106" s="7" t="s">
        <v>92</v>
      </c>
      <c r="D106" s="7" t="s">
        <v>61</v>
      </c>
      <c r="E106" s="7" t="s">
        <v>406</v>
      </c>
      <c r="F106" s="7" t="s">
        <v>63</v>
      </c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</row>
    <row r="107" customFormat="false" ht="15" hidden="false" customHeight="false" outlineLevel="0" collapsed="false">
      <c r="A107" s="7" t="s">
        <v>407</v>
      </c>
      <c r="B107" s="7" t="n">
        <v>3</v>
      </c>
      <c r="C107" s="7" t="s">
        <v>92</v>
      </c>
      <c r="D107" s="7" t="s">
        <v>61</v>
      </c>
      <c r="E107" s="7" t="s">
        <v>408</v>
      </c>
      <c r="F107" s="7" t="s">
        <v>63</v>
      </c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</row>
    <row r="108" customFormat="false" ht="15" hidden="false" customHeight="false" outlineLevel="0" collapsed="false">
      <c r="A108" s="7" t="s">
        <v>409</v>
      </c>
      <c r="B108" s="7" t="n">
        <v>3</v>
      </c>
      <c r="C108" s="7" t="s">
        <v>92</v>
      </c>
      <c r="D108" s="7" t="s">
        <v>147</v>
      </c>
      <c r="E108" s="7" t="s">
        <v>410</v>
      </c>
      <c r="F108" s="7" t="s">
        <v>149</v>
      </c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</row>
    <row r="109" customFormat="false" ht="15" hidden="false" customHeight="false" outlineLevel="0" collapsed="false">
      <c r="A109" s="7" t="s">
        <v>411</v>
      </c>
      <c r="B109" s="7" t="n">
        <v>3</v>
      </c>
      <c r="C109" s="7" t="s">
        <v>50</v>
      </c>
      <c r="D109" s="7" t="s">
        <v>80</v>
      </c>
      <c r="E109" s="7" t="s">
        <v>412</v>
      </c>
      <c r="F109" s="7" t="s">
        <v>82</v>
      </c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</row>
    <row r="110" customFormat="false" ht="15" hidden="false" customHeight="false" outlineLevel="0" collapsed="false">
      <c r="A110" s="7" t="s">
        <v>413</v>
      </c>
      <c r="B110" s="7" t="n">
        <v>3</v>
      </c>
      <c r="C110" s="7" t="s">
        <v>92</v>
      </c>
      <c r="D110" s="7" t="s">
        <v>147</v>
      </c>
      <c r="E110" s="7" t="s">
        <v>414</v>
      </c>
      <c r="F110" s="7" t="s">
        <v>149</v>
      </c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</row>
    <row r="111" customFormat="false" ht="15" hidden="false" customHeight="false" outlineLevel="0" collapsed="false">
      <c r="A111" s="7" t="s">
        <v>415</v>
      </c>
      <c r="B111" s="7" t="n">
        <v>3</v>
      </c>
      <c r="C111" s="7" t="s">
        <v>92</v>
      </c>
      <c r="D111" s="7" t="s">
        <v>178</v>
      </c>
      <c r="E111" s="7" t="s">
        <v>416</v>
      </c>
      <c r="F111" s="7" t="s">
        <v>180</v>
      </c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</row>
    <row r="112" customFormat="false" ht="15" hidden="false" customHeight="false" outlineLevel="0" collapsed="false">
      <c r="A112" s="7" t="s">
        <v>417</v>
      </c>
      <c r="B112" s="7" t="n">
        <v>3</v>
      </c>
      <c r="C112" s="7" t="s">
        <v>106</v>
      </c>
      <c r="D112" s="7" t="s">
        <v>61</v>
      </c>
      <c r="E112" s="7" t="s">
        <v>418</v>
      </c>
      <c r="F112" s="7" t="s">
        <v>63</v>
      </c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</row>
    <row r="113" customFormat="false" ht="15" hidden="false" customHeight="false" outlineLevel="0" collapsed="false">
      <c r="A113" s="7" t="s">
        <v>419</v>
      </c>
      <c r="B113" s="7" t="n">
        <v>3</v>
      </c>
      <c r="C113" s="7" t="s">
        <v>68</v>
      </c>
      <c r="D113" s="7" t="s">
        <v>51</v>
      </c>
      <c r="E113" s="7" t="s">
        <v>420</v>
      </c>
      <c r="F113" s="7" t="s">
        <v>53</v>
      </c>
      <c r="G113" s="7" t="s">
        <v>74</v>
      </c>
      <c r="H113" s="7" t="s">
        <v>421</v>
      </c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</row>
    <row r="114" customFormat="false" ht="15" hidden="false" customHeight="false" outlineLevel="0" collapsed="false">
      <c r="A114" s="7" t="s">
        <v>422</v>
      </c>
      <c r="B114" s="7" t="n">
        <v>3</v>
      </c>
      <c r="C114" s="7" t="s">
        <v>68</v>
      </c>
      <c r="D114" s="7" t="s">
        <v>178</v>
      </c>
      <c r="E114" s="7" t="s">
        <v>423</v>
      </c>
      <c r="F114" s="7" t="s">
        <v>180</v>
      </c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</row>
    <row r="115" customFormat="false" ht="15" hidden="false" customHeight="false" outlineLevel="0" collapsed="false">
      <c r="A115" s="7" t="s">
        <v>424</v>
      </c>
      <c r="B115" s="7" t="n">
        <v>3</v>
      </c>
      <c r="C115" s="7" t="s">
        <v>68</v>
      </c>
      <c r="D115" s="7" t="s">
        <v>61</v>
      </c>
      <c r="E115" s="7" t="s">
        <v>425</v>
      </c>
      <c r="F115" s="7" t="s">
        <v>63</v>
      </c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</row>
    <row r="116" customFormat="false" ht="15" hidden="false" customHeight="false" outlineLevel="0" collapsed="false">
      <c r="A116" s="7" t="s">
        <v>426</v>
      </c>
      <c r="B116" s="7" t="n">
        <v>3</v>
      </c>
      <c r="C116" s="7" t="s">
        <v>106</v>
      </c>
      <c r="D116" s="7" t="s">
        <v>178</v>
      </c>
      <c r="E116" s="7" t="s">
        <v>427</v>
      </c>
      <c r="F116" s="7" t="s">
        <v>180</v>
      </c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</row>
    <row r="117" customFormat="false" ht="15" hidden="false" customHeight="false" outlineLevel="0" collapsed="false">
      <c r="A117" s="7" t="s">
        <v>428</v>
      </c>
      <c r="B117" s="7" t="n">
        <v>3</v>
      </c>
      <c r="C117" s="7" t="s">
        <v>50</v>
      </c>
      <c r="D117" s="7" t="s">
        <v>51</v>
      </c>
      <c r="E117" s="7" t="s">
        <v>429</v>
      </c>
      <c r="F117" s="7" t="s">
        <v>53</v>
      </c>
      <c r="G117" s="7" t="s">
        <v>54</v>
      </c>
      <c r="H117" s="7" t="s">
        <v>430</v>
      </c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</row>
    <row r="118" customFormat="false" ht="15" hidden="false" customHeight="false" outlineLevel="0" collapsed="false">
      <c r="A118" s="7" t="s">
        <v>431</v>
      </c>
      <c r="B118" s="7" t="n">
        <v>3</v>
      </c>
      <c r="C118" s="7" t="s">
        <v>68</v>
      </c>
      <c r="D118" s="7" t="s">
        <v>61</v>
      </c>
      <c r="E118" s="7" t="s">
        <v>432</v>
      </c>
      <c r="F118" s="7" t="s">
        <v>63</v>
      </c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</row>
    <row r="119" customFormat="false" ht="15" hidden="false" customHeight="false" outlineLevel="0" collapsed="false">
      <c r="A119" s="7" t="s">
        <v>433</v>
      </c>
      <c r="B119" s="7" t="n">
        <v>3</v>
      </c>
      <c r="C119" s="7" t="s">
        <v>106</v>
      </c>
      <c r="D119" s="7" t="s">
        <v>51</v>
      </c>
      <c r="E119" s="7" t="s">
        <v>434</v>
      </c>
      <c r="F119" s="7" t="s">
        <v>53</v>
      </c>
      <c r="G119" s="7" t="s">
        <v>118</v>
      </c>
      <c r="H119" s="7" t="s">
        <v>435</v>
      </c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</row>
    <row r="120" customFormat="false" ht="15" hidden="false" customHeight="false" outlineLevel="0" collapsed="false">
      <c r="A120" s="7" t="s">
        <v>436</v>
      </c>
      <c r="B120" s="7" t="n">
        <v>3</v>
      </c>
      <c r="C120" s="7" t="s">
        <v>68</v>
      </c>
      <c r="D120" s="7" t="s">
        <v>61</v>
      </c>
      <c r="E120" s="7" t="s">
        <v>437</v>
      </c>
      <c r="F120" s="7" t="s">
        <v>63</v>
      </c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</row>
    <row r="121" customFormat="false" ht="15" hidden="false" customHeight="false" outlineLevel="0" collapsed="false">
      <c r="A121" s="7" t="s">
        <v>438</v>
      </c>
      <c r="B121" s="7" t="n">
        <v>3</v>
      </c>
      <c r="C121" s="7" t="s">
        <v>68</v>
      </c>
      <c r="D121" s="7" t="s">
        <v>61</v>
      </c>
      <c r="E121" s="7" t="s">
        <v>439</v>
      </c>
      <c r="F121" s="7" t="s">
        <v>63</v>
      </c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</row>
    <row r="122" customFormat="false" ht="15" hidden="false" customHeight="false" outlineLevel="0" collapsed="false">
      <c r="A122" s="7" t="s">
        <v>440</v>
      </c>
      <c r="B122" s="7" t="n">
        <v>4</v>
      </c>
      <c r="C122" s="7" t="s">
        <v>50</v>
      </c>
      <c r="D122" s="7" t="s">
        <v>61</v>
      </c>
      <c r="E122" s="7" t="s">
        <v>441</v>
      </c>
      <c r="F122" s="7" t="s">
        <v>63</v>
      </c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</row>
    <row r="123" customFormat="false" ht="15" hidden="false" customHeight="false" outlineLevel="0" collapsed="false">
      <c r="A123" s="7" t="s">
        <v>442</v>
      </c>
      <c r="B123" s="7" t="n">
        <v>4</v>
      </c>
      <c r="C123" s="7" t="s">
        <v>106</v>
      </c>
      <c r="D123" s="7" t="s">
        <v>51</v>
      </c>
      <c r="E123" s="7" t="s">
        <v>443</v>
      </c>
      <c r="F123" s="7" t="s">
        <v>53</v>
      </c>
      <c r="G123" s="7" t="s">
        <v>118</v>
      </c>
      <c r="H123" s="7" t="s">
        <v>444</v>
      </c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</row>
    <row r="124" customFormat="false" ht="15" hidden="false" customHeight="false" outlineLevel="0" collapsed="false">
      <c r="A124" s="7" t="s">
        <v>445</v>
      </c>
      <c r="B124" s="7" t="n">
        <v>4</v>
      </c>
      <c r="C124" s="7" t="s">
        <v>68</v>
      </c>
      <c r="D124" s="7" t="s">
        <v>80</v>
      </c>
      <c r="E124" s="7" t="s">
        <v>446</v>
      </c>
      <c r="F124" s="7" t="s">
        <v>82</v>
      </c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</row>
    <row r="125" customFormat="false" ht="15" hidden="false" customHeight="false" outlineLevel="0" collapsed="false">
      <c r="A125" s="7" t="s">
        <v>447</v>
      </c>
      <c r="B125" s="7" t="n">
        <v>4</v>
      </c>
      <c r="C125" s="7" t="s">
        <v>50</v>
      </c>
      <c r="D125" s="7" t="s">
        <v>178</v>
      </c>
      <c r="E125" s="7" t="s">
        <v>448</v>
      </c>
      <c r="F125" s="7" t="s">
        <v>180</v>
      </c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</row>
    <row r="126" customFormat="false" ht="15" hidden="false" customHeight="false" outlineLevel="0" collapsed="false">
      <c r="A126" s="7" t="s">
        <v>449</v>
      </c>
      <c r="B126" s="7" t="n">
        <v>4</v>
      </c>
      <c r="C126" s="7" t="s">
        <v>106</v>
      </c>
      <c r="D126" s="7" t="s">
        <v>61</v>
      </c>
      <c r="E126" s="7" t="s">
        <v>450</v>
      </c>
      <c r="F126" s="7" t="s">
        <v>63</v>
      </c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</row>
    <row r="127" customFormat="false" ht="15" hidden="false" customHeight="false" outlineLevel="0" collapsed="false">
      <c r="A127" s="7" t="s">
        <v>451</v>
      </c>
      <c r="B127" s="7" t="n">
        <v>4</v>
      </c>
      <c r="C127" s="7" t="s">
        <v>50</v>
      </c>
      <c r="D127" s="7" t="s">
        <v>80</v>
      </c>
      <c r="E127" s="7" t="s">
        <v>452</v>
      </c>
      <c r="F127" s="7" t="s">
        <v>82</v>
      </c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</row>
    <row r="128" customFormat="false" ht="15" hidden="false" customHeight="false" outlineLevel="0" collapsed="false">
      <c r="A128" s="7" t="s">
        <v>453</v>
      </c>
      <c r="B128" s="7" t="n">
        <v>4</v>
      </c>
      <c r="C128" s="7" t="s">
        <v>68</v>
      </c>
      <c r="D128" s="7" t="s">
        <v>61</v>
      </c>
      <c r="E128" s="7" t="s">
        <v>454</v>
      </c>
      <c r="F128" s="7" t="s">
        <v>63</v>
      </c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</row>
    <row r="129" customFormat="false" ht="15" hidden="false" customHeight="false" outlineLevel="0" collapsed="false">
      <c r="A129" s="7" t="s">
        <v>455</v>
      </c>
      <c r="B129" s="7" t="n">
        <v>4</v>
      </c>
      <c r="C129" s="7" t="s">
        <v>106</v>
      </c>
      <c r="D129" s="7" t="s">
        <v>61</v>
      </c>
      <c r="E129" s="7" t="s">
        <v>456</v>
      </c>
      <c r="F129" s="7" t="s">
        <v>63</v>
      </c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</row>
    <row r="130" customFormat="false" ht="15" hidden="false" customHeight="false" outlineLevel="0" collapsed="false">
      <c r="A130" s="7" t="s">
        <v>457</v>
      </c>
      <c r="B130" s="7" t="n">
        <v>4</v>
      </c>
      <c r="C130" s="7" t="s">
        <v>106</v>
      </c>
      <c r="D130" s="7" t="s">
        <v>178</v>
      </c>
      <c r="E130" s="7" t="s">
        <v>458</v>
      </c>
      <c r="F130" s="7" t="s">
        <v>180</v>
      </c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</row>
    <row r="131" customFormat="false" ht="15" hidden="false" customHeight="false" outlineLevel="0" collapsed="false">
      <c r="A131" s="7" t="s">
        <v>459</v>
      </c>
      <c r="B131" s="7" t="n">
        <v>4</v>
      </c>
      <c r="C131" s="7" t="s">
        <v>92</v>
      </c>
      <c r="D131" s="7" t="s">
        <v>80</v>
      </c>
      <c r="E131" s="7" t="s">
        <v>460</v>
      </c>
      <c r="F131" s="7" t="s">
        <v>82</v>
      </c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</row>
    <row r="132" customFormat="false" ht="15" hidden="false" customHeight="false" outlineLevel="0" collapsed="false">
      <c r="A132" s="7" t="s">
        <v>461</v>
      </c>
      <c r="B132" s="7" t="n">
        <v>4</v>
      </c>
      <c r="C132" s="7" t="s">
        <v>50</v>
      </c>
      <c r="D132" s="7" t="s">
        <v>51</v>
      </c>
      <c r="E132" s="7" t="s">
        <v>462</v>
      </c>
      <c r="F132" s="7" t="s">
        <v>53</v>
      </c>
      <c r="G132" s="7" t="s">
        <v>54</v>
      </c>
      <c r="H132" s="7" t="s">
        <v>463</v>
      </c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</row>
    <row r="133" customFormat="false" ht="15" hidden="false" customHeight="false" outlineLevel="0" collapsed="false">
      <c r="A133" s="7" t="s">
        <v>464</v>
      </c>
      <c r="B133" s="7" t="n">
        <v>4</v>
      </c>
      <c r="C133" s="7" t="s">
        <v>92</v>
      </c>
      <c r="D133" s="7" t="s">
        <v>147</v>
      </c>
      <c r="E133" s="7" t="s">
        <v>465</v>
      </c>
      <c r="F133" s="7" t="s">
        <v>149</v>
      </c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</row>
    <row r="134" customFormat="false" ht="15" hidden="false" customHeight="false" outlineLevel="0" collapsed="false">
      <c r="A134" s="7" t="s">
        <v>466</v>
      </c>
      <c r="B134" s="7" t="n">
        <v>4</v>
      </c>
      <c r="C134" s="7" t="s">
        <v>50</v>
      </c>
      <c r="D134" s="7" t="s">
        <v>61</v>
      </c>
      <c r="E134" s="7" t="s">
        <v>467</v>
      </c>
      <c r="F134" s="7" t="s">
        <v>63</v>
      </c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</row>
    <row r="135" customFormat="false" ht="15" hidden="false" customHeight="false" outlineLevel="0" collapsed="false">
      <c r="A135" s="7" t="s">
        <v>468</v>
      </c>
      <c r="B135" s="7" t="n">
        <v>4</v>
      </c>
      <c r="C135" s="7" t="s">
        <v>92</v>
      </c>
      <c r="D135" s="7" t="s">
        <v>147</v>
      </c>
      <c r="E135" s="7" t="s">
        <v>469</v>
      </c>
      <c r="F135" s="7" t="s">
        <v>149</v>
      </c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</row>
    <row r="136" customFormat="false" ht="15" hidden="false" customHeight="false" outlineLevel="0" collapsed="false">
      <c r="A136" s="7" t="s">
        <v>470</v>
      </c>
      <c r="B136" s="7" t="n">
        <v>4</v>
      </c>
      <c r="C136" s="7" t="s">
        <v>92</v>
      </c>
      <c r="D136" s="7" t="s">
        <v>61</v>
      </c>
      <c r="E136" s="7" t="s">
        <v>471</v>
      </c>
      <c r="F136" s="7" t="s">
        <v>63</v>
      </c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</row>
    <row r="137" customFormat="false" ht="15" hidden="false" customHeight="false" outlineLevel="0" collapsed="false">
      <c r="A137" s="7" t="s">
        <v>472</v>
      </c>
      <c r="B137" s="7" t="n">
        <v>4</v>
      </c>
      <c r="C137" s="7" t="s">
        <v>92</v>
      </c>
      <c r="D137" s="7" t="s">
        <v>147</v>
      </c>
      <c r="E137" s="7" t="s">
        <v>473</v>
      </c>
      <c r="F137" s="7" t="s">
        <v>149</v>
      </c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</row>
    <row r="138" customFormat="false" ht="15" hidden="false" customHeight="false" outlineLevel="0" collapsed="false">
      <c r="A138" s="7" t="s">
        <v>474</v>
      </c>
      <c r="B138" s="7" t="n">
        <v>4</v>
      </c>
      <c r="C138" s="7" t="s">
        <v>68</v>
      </c>
      <c r="D138" s="7" t="s">
        <v>51</v>
      </c>
      <c r="E138" s="7" t="s">
        <v>475</v>
      </c>
      <c r="F138" s="7" t="s">
        <v>53</v>
      </c>
      <c r="G138" s="7" t="s">
        <v>74</v>
      </c>
      <c r="H138" s="7" t="s">
        <v>476</v>
      </c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</row>
    <row r="139" customFormat="false" ht="15" hidden="false" customHeight="false" outlineLevel="0" collapsed="false">
      <c r="A139" s="7" t="s">
        <v>477</v>
      </c>
      <c r="B139" s="7" t="n">
        <v>4</v>
      </c>
      <c r="C139" s="7" t="s">
        <v>50</v>
      </c>
      <c r="D139" s="7" t="s">
        <v>61</v>
      </c>
      <c r="E139" s="7" t="s">
        <v>478</v>
      </c>
      <c r="F139" s="7" t="s">
        <v>63</v>
      </c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</row>
    <row r="140" customFormat="false" ht="15" hidden="false" customHeight="false" outlineLevel="0" collapsed="false">
      <c r="A140" s="7" t="s">
        <v>479</v>
      </c>
      <c r="B140" s="7" t="n">
        <v>4</v>
      </c>
      <c r="C140" s="7" t="s">
        <v>68</v>
      </c>
      <c r="D140" s="7" t="s">
        <v>178</v>
      </c>
      <c r="E140" s="7" t="s">
        <v>480</v>
      </c>
      <c r="F140" s="7" t="s">
        <v>180</v>
      </c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</row>
    <row r="141" customFormat="false" ht="15" hidden="false" customHeight="false" outlineLevel="0" collapsed="false">
      <c r="A141" s="7" t="s">
        <v>481</v>
      </c>
      <c r="B141" s="7" t="n">
        <v>4</v>
      </c>
      <c r="C141" s="7" t="s">
        <v>106</v>
      </c>
      <c r="D141" s="7" t="s">
        <v>80</v>
      </c>
      <c r="E141" s="7" t="s">
        <v>482</v>
      </c>
      <c r="F141" s="7" t="s">
        <v>82</v>
      </c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</row>
    <row r="142" customFormat="false" ht="15" hidden="false" customHeight="false" outlineLevel="0" collapsed="false">
      <c r="A142" s="7" t="s">
        <v>483</v>
      </c>
      <c r="B142" s="7" t="n">
        <v>4</v>
      </c>
      <c r="C142" s="7" t="s">
        <v>50</v>
      </c>
      <c r="D142" s="7" t="s">
        <v>51</v>
      </c>
      <c r="E142" s="7" t="s">
        <v>484</v>
      </c>
      <c r="F142" s="7" t="s">
        <v>53</v>
      </c>
      <c r="G142" s="7" t="s">
        <v>54</v>
      </c>
      <c r="H142" s="7" t="s">
        <v>485</v>
      </c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</row>
    <row r="143" customFormat="false" ht="15" hidden="false" customHeight="false" outlineLevel="0" collapsed="false">
      <c r="A143" s="7" t="s">
        <v>486</v>
      </c>
      <c r="B143" s="7" t="n">
        <v>4</v>
      </c>
      <c r="C143" s="7" t="s">
        <v>68</v>
      </c>
      <c r="D143" s="7" t="s">
        <v>61</v>
      </c>
      <c r="E143" s="7" t="s">
        <v>487</v>
      </c>
      <c r="F143" s="7" t="s">
        <v>63</v>
      </c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</row>
    <row r="144" customFormat="false" ht="15" hidden="false" customHeight="false" outlineLevel="0" collapsed="false">
      <c r="A144" s="7" t="s">
        <v>488</v>
      </c>
      <c r="B144" s="7" t="n">
        <v>4</v>
      </c>
      <c r="C144" s="7" t="s">
        <v>92</v>
      </c>
      <c r="D144" s="7" t="s">
        <v>61</v>
      </c>
      <c r="E144" s="7" t="s">
        <v>489</v>
      </c>
      <c r="F144" s="7" t="s">
        <v>63</v>
      </c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</row>
    <row r="145" customFormat="false" ht="15" hidden="false" customHeight="false" outlineLevel="0" collapsed="false">
      <c r="A145" s="7" t="s">
        <v>490</v>
      </c>
      <c r="B145" s="7" t="n">
        <v>4</v>
      </c>
      <c r="C145" s="7" t="s">
        <v>92</v>
      </c>
      <c r="D145" s="7" t="s">
        <v>61</v>
      </c>
      <c r="E145" s="7" t="s">
        <v>491</v>
      </c>
      <c r="F145" s="7" t="s">
        <v>63</v>
      </c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</row>
    <row r="146" customFormat="false" ht="15" hidden="false" customHeight="false" outlineLevel="0" collapsed="false">
      <c r="A146" s="7" t="s">
        <v>492</v>
      </c>
      <c r="B146" s="7" t="n">
        <v>4</v>
      </c>
      <c r="C146" s="7" t="s">
        <v>106</v>
      </c>
      <c r="D146" s="7" t="s">
        <v>61</v>
      </c>
      <c r="E146" s="7" t="s">
        <v>493</v>
      </c>
      <c r="F146" s="7" t="s">
        <v>63</v>
      </c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</row>
    <row r="147" customFormat="false" ht="15" hidden="false" customHeight="false" outlineLevel="0" collapsed="false">
      <c r="A147" s="7" t="s">
        <v>494</v>
      </c>
      <c r="B147" s="7" t="n">
        <v>4</v>
      </c>
      <c r="C147" s="7" t="s">
        <v>68</v>
      </c>
      <c r="D147" s="7" t="s">
        <v>61</v>
      </c>
      <c r="E147" s="7" t="s">
        <v>495</v>
      </c>
      <c r="F147" s="7" t="s">
        <v>63</v>
      </c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</row>
    <row r="148" customFormat="false" ht="15" hidden="false" customHeight="false" outlineLevel="0" collapsed="false">
      <c r="A148" s="7" t="s">
        <v>496</v>
      </c>
      <c r="B148" s="7" t="n">
        <v>4</v>
      </c>
      <c r="C148" s="7" t="s">
        <v>106</v>
      </c>
      <c r="D148" s="7" t="s">
        <v>61</v>
      </c>
      <c r="E148" s="7" t="s">
        <v>497</v>
      </c>
      <c r="F148" s="7" t="s">
        <v>63</v>
      </c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</row>
    <row r="149" customFormat="false" ht="15" hidden="false" customHeight="false" outlineLevel="0" collapsed="false">
      <c r="A149" s="7" t="s">
        <v>498</v>
      </c>
      <c r="B149" s="7" t="n">
        <v>4</v>
      </c>
      <c r="C149" s="7" t="s">
        <v>50</v>
      </c>
      <c r="D149" s="7" t="s">
        <v>61</v>
      </c>
      <c r="E149" s="7" t="s">
        <v>499</v>
      </c>
      <c r="F149" s="7" t="s">
        <v>63</v>
      </c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</row>
    <row r="150" customFormat="false" ht="15" hidden="false" customHeight="false" outlineLevel="0" collapsed="false">
      <c r="A150" s="7" t="s">
        <v>500</v>
      </c>
      <c r="B150" s="7" t="n">
        <v>4</v>
      </c>
      <c r="C150" s="7" t="s">
        <v>92</v>
      </c>
      <c r="D150" s="7" t="s">
        <v>178</v>
      </c>
      <c r="E150" s="7" t="s">
        <v>501</v>
      </c>
      <c r="F150" s="7" t="s">
        <v>180</v>
      </c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</row>
    <row r="151" customFormat="false" ht="15" hidden="false" customHeight="false" outlineLevel="0" collapsed="false">
      <c r="A151" s="7" t="s">
        <v>502</v>
      </c>
      <c r="B151" s="7" t="n">
        <v>4</v>
      </c>
      <c r="C151" s="7" t="s">
        <v>92</v>
      </c>
      <c r="D151" s="7" t="s">
        <v>51</v>
      </c>
      <c r="E151" s="7" t="s">
        <v>503</v>
      </c>
      <c r="F151" s="7" t="s">
        <v>53</v>
      </c>
      <c r="G151" s="7" t="s">
        <v>94</v>
      </c>
      <c r="H151" s="7" t="s">
        <v>504</v>
      </c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</row>
    <row r="152" customFormat="false" ht="15" hidden="false" customHeight="false" outlineLevel="0" collapsed="false">
      <c r="A152" s="7" t="s">
        <v>505</v>
      </c>
      <c r="B152" s="7" t="n">
        <v>4</v>
      </c>
      <c r="C152" s="7" t="s">
        <v>68</v>
      </c>
      <c r="D152" s="7" t="s">
        <v>51</v>
      </c>
      <c r="E152" s="7" t="s">
        <v>506</v>
      </c>
      <c r="F152" s="7" t="s">
        <v>53</v>
      </c>
      <c r="G152" s="7" t="s">
        <v>74</v>
      </c>
      <c r="H152" s="7" t="s">
        <v>507</v>
      </c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</row>
    <row r="153" customFormat="false" ht="15" hidden="false" customHeight="false" outlineLevel="0" collapsed="false">
      <c r="A153" s="7" t="s">
        <v>508</v>
      </c>
      <c r="B153" s="7" t="n">
        <v>4</v>
      </c>
      <c r="C153" s="7" t="s">
        <v>68</v>
      </c>
      <c r="D153" s="7" t="s">
        <v>61</v>
      </c>
      <c r="E153" s="7" t="s">
        <v>509</v>
      </c>
      <c r="F153" s="7" t="s">
        <v>63</v>
      </c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</row>
    <row r="154" customFormat="false" ht="15" hidden="false" customHeight="false" outlineLevel="0" collapsed="false">
      <c r="A154" s="7" t="s">
        <v>510</v>
      </c>
      <c r="B154" s="7" t="n">
        <v>4</v>
      </c>
      <c r="C154" s="7" t="s">
        <v>106</v>
      </c>
      <c r="D154" s="7" t="s">
        <v>80</v>
      </c>
      <c r="E154" s="7" t="s">
        <v>511</v>
      </c>
      <c r="F154" s="7" t="s">
        <v>82</v>
      </c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</row>
    <row r="155" customFormat="false" ht="15" hidden="false" customHeight="false" outlineLevel="0" collapsed="false">
      <c r="A155" s="7" t="s">
        <v>512</v>
      </c>
      <c r="B155" s="7" t="n">
        <v>4</v>
      </c>
      <c r="C155" s="7" t="s">
        <v>92</v>
      </c>
      <c r="D155" s="7" t="s">
        <v>51</v>
      </c>
      <c r="E155" s="7" t="s">
        <v>513</v>
      </c>
      <c r="F155" s="7" t="s">
        <v>53</v>
      </c>
      <c r="G155" s="7" t="s">
        <v>94</v>
      </c>
      <c r="H155" s="7" t="s">
        <v>514</v>
      </c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</row>
    <row r="156" customFormat="false" ht="15" hidden="false" customHeight="false" outlineLevel="0" collapsed="false">
      <c r="A156" s="7" t="s">
        <v>515</v>
      </c>
      <c r="B156" s="7" t="n">
        <v>4</v>
      </c>
      <c r="C156" s="7" t="s">
        <v>68</v>
      </c>
      <c r="D156" s="7" t="s">
        <v>61</v>
      </c>
      <c r="E156" s="7" t="s">
        <v>516</v>
      </c>
      <c r="F156" s="7" t="s">
        <v>63</v>
      </c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</row>
    <row r="157" customFormat="false" ht="15" hidden="false" customHeight="false" outlineLevel="0" collapsed="false">
      <c r="A157" s="7" t="s">
        <v>517</v>
      </c>
      <c r="B157" s="7" t="n">
        <v>4</v>
      </c>
      <c r="C157" s="7" t="s">
        <v>50</v>
      </c>
      <c r="D157" s="7" t="s">
        <v>80</v>
      </c>
      <c r="E157" s="7" t="s">
        <v>518</v>
      </c>
      <c r="F157" s="7" t="s">
        <v>82</v>
      </c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</row>
    <row r="158" customFormat="false" ht="15" hidden="false" customHeight="false" outlineLevel="0" collapsed="false">
      <c r="A158" s="7" t="s">
        <v>519</v>
      </c>
      <c r="B158" s="7" t="n">
        <v>4</v>
      </c>
      <c r="C158" s="7" t="s">
        <v>106</v>
      </c>
      <c r="D158" s="7" t="s">
        <v>61</v>
      </c>
      <c r="E158" s="7" t="s">
        <v>520</v>
      </c>
      <c r="F158" s="7" t="s">
        <v>63</v>
      </c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</row>
    <row r="159" customFormat="false" ht="15" hidden="false" customHeight="false" outlineLevel="0" collapsed="false">
      <c r="A159" s="7" t="s">
        <v>521</v>
      </c>
      <c r="B159" s="7" t="n">
        <v>4</v>
      </c>
      <c r="C159" s="7" t="s">
        <v>50</v>
      </c>
      <c r="D159" s="7" t="s">
        <v>178</v>
      </c>
      <c r="E159" s="7" t="s">
        <v>522</v>
      </c>
      <c r="F159" s="7" t="s">
        <v>180</v>
      </c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</row>
    <row r="160" customFormat="false" ht="15" hidden="false" customHeight="false" outlineLevel="0" collapsed="false">
      <c r="A160" s="7" t="s">
        <v>523</v>
      </c>
      <c r="B160" s="7" t="n">
        <v>4</v>
      </c>
      <c r="C160" s="7" t="s">
        <v>106</v>
      </c>
      <c r="D160" s="7" t="s">
        <v>51</v>
      </c>
      <c r="E160" s="7" t="s">
        <v>524</v>
      </c>
      <c r="F160" s="7" t="s">
        <v>53</v>
      </c>
      <c r="G160" s="7" t="s">
        <v>118</v>
      </c>
      <c r="H160" s="7" t="s">
        <v>525</v>
      </c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</row>
    <row r="161" customFormat="false" ht="15" hidden="false" customHeight="false" outlineLevel="0" collapsed="false">
      <c r="A161" s="7" t="s">
        <v>526</v>
      </c>
      <c r="B161" s="7" t="n">
        <v>4</v>
      </c>
      <c r="C161" s="7" t="s">
        <v>68</v>
      </c>
      <c r="D161" s="7" t="s">
        <v>61</v>
      </c>
      <c r="E161" s="7" t="s">
        <v>527</v>
      </c>
      <c r="F161" s="7" t="s">
        <v>63</v>
      </c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</row>
    <row r="162" customFormat="false" ht="15" hidden="false" customHeight="false" outlineLevel="0" collapsed="false">
      <c r="A162" s="7" t="s">
        <v>528</v>
      </c>
      <c r="B162" s="7" t="n">
        <v>5</v>
      </c>
      <c r="C162" s="7" t="s">
        <v>92</v>
      </c>
      <c r="D162" s="7" t="s">
        <v>147</v>
      </c>
      <c r="E162" s="7" t="s">
        <v>529</v>
      </c>
      <c r="F162" s="7" t="s">
        <v>149</v>
      </c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</row>
    <row r="163" customFormat="false" ht="15" hidden="false" customHeight="false" outlineLevel="0" collapsed="false">
      <c r="A163" s="7" t="s">
        <v>530</v>
      </c>
      <c r="B163" s="7" t="n">
        <v>5</v>
      </c>
      <c r="C163" s="7" t="s">
        <v>50</v>
      </c>
      <c r="D163" s="7" t="s">
        <v>80</v>
      </c>
      <c r="E163" s="7" t="s">
        <v>531</v>
      </c>
      <c r="F163" s="7" t="s">
        <v>82</v>
      </c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</row>
    <row r="164" customFormat="false" ht="15" hidden="false" customHeight="false" outlineLevel="0" collapsed="false">
      <c r="A164" s="7" t="s">
        <v>532</v>
      </c>
      <c r="B164" s="7" t="n">
        <v>5</v>
      </c>
      <c r="C164" s="7" t="s">
        <v>50</v>
      </c>
      <c r="D164" s="7" t="s">
        <v>61</v>
      </c>
      <c r="E164" s="7" t="s">
        <v>533</v>
      </c>
      <c r="F164" s="7" t="s">
        <v>63</v>
      </c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</row>
    <row r="165" customFormat="false" ht="15" hidden="false" customHeight="false" outlineLevel="0" collapsed="false">
      <c r="A165" s="7" t="s">
        <v>534</v>
      </c>
      <c r="B165" s="7" t="n">
        <v>5</v>
      </c>
      <c r="C165" s="7" t="s">
        <v>106</v>
      </c>
      <c r="D165" s="7" t="s">
        <v>178</v>
      </c>
      <c r="E165" s="7" t="s">
        <v>535</v>
      </c>
      <c r="F165" s="7" t="s">
        <v>180</v>
      </c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</row>
    <row r="166" customFormat="false" ht="15" hidden="false" customHeight="false" outlineLevel="0" collapsed="false">
      <c r="A166" s="7" t="s">
        <v>536</v>
      </c>
      <c r="B166" s="7" t="n">
        <v>5</v>
      </c>
      <c r="C166" s="7" t="s">
        <v>92</v>
      </c>
      <c r="D166" s="7" t="s">
        <v>61</v>
      </c>
      <c r="E166" s="7" t="s">
        <v>537</v>
      </c>
      <c r="F166" s="7" t="s">
        <v>63</v>
      </c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</row>
    <row r="167" customFormat="false" ht="15" hidden="false" customHeight="false" outlineLevel="0" collapsed="false">
      <c r="A167" s="7" t="s">
        <v>538</v>
      </c>
      <c r="B167" s="7" t="n">
        <v>5</v>
      </c>
      <c r="C167" s="7" t="s">
        <v>50</v>
      </c>
      <c r="D167" s="7" t="s">
        <v>61</v>
      </c>
      <c r="E167" s="7" t="s">
        <v>539</v>
      </c>
      <c r="F167" s="7" t="s">
        <v>63</v>
      </c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</row>
    <row r="168" customFormat="false" ht="15" hidden="false" customHeight="false" outlineLevel="0" collapsed="false">
      <c r="A168" s="7" t="s">
        <v>540</v>
      </c>
      <c r="B168" s="7" t="n">
        <v>5</v>
      </c>
      <c r="C168" s="7" t="s">
        <v>50</v>
      </c>
      <c r="D168" s="7" t="s">
        <v>61</v>
      </c>
      <c r="E168" s="7" t="s">
        <v>541</v>
      </c>
      <c r="F168" s="7" t="s">
        <v>63</v>
      </c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</row>
    <row r="169" customFormat="false" ht="15" hidden="false" customHeight="false" outlineLevel="0" collapsed="false">
      <c r="A169" s="7" t="s">
        <v>542</v>
      </c>
      <c r="B169" s="7" t="n">
        <v>5</v>
      </c>
      <c r="C169" s="7" t="s">
        <v>68</v>
      </c>
      <c r="D169" s="7" t="s">
        <v>51</v>
      </c>
      <c r="E169" s="7" t="s">
        <v>543</v>
      </c>
      <c r="F169" s="7" t="s">
        <v>53</v>
      </c>
      <c r="G169" s="7" t="s">
        <v>74</v>
      </c>
      <c r="H169" s="7" t="s">
        <v>544</v>
      </c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</row>
    <row r="170" customFormat="false" ht="15" hidden="false" customHeight="false" outlineLevel="0" collapsed="false">
      <c r="A170" s="7" t="s">
        <v>545</v>
      </c>
      <c r="B170" s="7" t="n">
        <v>5</v>
      </c>
      <c r="C170" s="7" t="s">
        <v>106</v>
      </c>
      <c r="D170" s="7" t="s">
        <v>51</v>
      </c>
      <c r="E170" s="7" t="s">
        <v>546</v>
      </c>
      <c r="F170" s="7" t="s">
        <v>53</v>
      </c>
      <c r="G170" s="7" t="s">
        <v>118</v>
      </c>
      <c r="H170" s="7" t="s">
        <v>547</v>
      </c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</row>
    <row r="171" customFormat="false" ht="15" hidden="false" customHeight="false" outlineLevel="0" collapsed="false">
      <c r="A171" s="7" t="s">
        <v>548</v>
      </c>
      <c r="B171" s="7" t="n">
        <v>5</v>
      </c>
      <c r="C171" s="7" t="s">
        <v>106</v>
      </c>
      <c r="D171" s="7" t="s">
        <v>61</v>
      </c>
      <c r="E171" s="7" t="s">
        <v>549</v>
      </c>
      <c r="F171" s="7" t="s">
        <v>63</v>
      </c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</row>
    <row r="172" customFormat="false" ht="15" hidden="false" customHeight="false" outlineLevel="0" collapsed="false">
      <c r="A172" s="7" t="s">
        <v>550</v>
      </c>
      <c r="B172" s="7" t="n">
        <v>5</v>
      </c>
      <c r="C172" s="7" t="s">
        <v>68</v>
      </c>
      <c r="D172" s="7" t="s">
        <v>61</v>
      </c>
      <c r="E172" s="7" t="s">
        <v>551</v>
      </c>
      <c r="F172" s="7" t="s">
        <v>63</v>
      </c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</row>
    <row r="173" customFormat="false" ht="15" hidden="false" customHeight="false" outlineLevel="0" collapsed="false">
      <c r="A173" s="7" t="s">
        <v>552</v>
      </c>
      <c r="B173" s="7" t="n">
        <v>5</v>
      </c>
      <c r="C173" s="7" t="s">
        <v>68</v>
      </c>
      <c r="D173" s="7" t="s">
        <v>61</v>
      </c>
      <c r="E173" s="7" t="s">
        <v>553</v>
      </c>
      <c r="F173" s="7" t="s">
        <v>63</v>
      </c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</row>
    <row r="174" customFormat="false" ht="15" hidden="false" customHeight="false" outlineLevel="0" collapsed="false">
      <c r="A174" s="7" t="s">
        <v>554</v>
      </c>
      <c r="B174" s="7" t="n">
        <v>5</v>
      </c>
      <c r="C174" s="7" t="s">
        <v>106</v>
      </c>
      <c r="D174" s="7" t="s">
        <v>80</v>
      </c>
      <c r="E174" s="7" t="s">
        <v>555</v>
      </c>
      <c r="F174" s="7" t="s">
        <v>82</v>
      </c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</row>
    <row r="175" customFormat="false" ht="15" hidden="false" customHeight="false" outlineLevel="0" collapsed="false">
      <c r="A175" s="7" t="s">
        <v>556</v>
      </c>
      <c r="B175" s="7" t="n">
        <v>5</v>
      </c>
      <c r="C175" s="7" t="s">
        <v>92</v>
      </c>
      <c r="D175" s="7" t="s">
        <v>61</v>
      </c>
      <c r="E175" s="7" t="s">
        <v>557</v>
      </c>
      <c r="F175" s="7" t="s">
        <v>63</v>
      </c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</row>
    <row r="176" customFormat="false" ht="15" hidden="false" customHeight="false" outlineLevel="0" collapsed="false">
      <c r="A176" s="7" t="s">
        <v>558</v>
      </c>
      <c r="B176" s="7" t="n">
        <v>5</v>
      </c>
      <c r="C176" s="7" t="s">
        <v>68</v>
      </c>
      <c r="D176" s="7" t="s">
        <v>80</v>
      </c>
      <c r="E176" s="7" t="s">
        <v>559</v>
      </c>
      <c r="F176" s="7" t="s">
        <v>82</v>
      </c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</row>
    <row r="177" customFormat="false" ht="15" hidden="false" customHeight="false" outlineLevel="0" collapsed="false">
      <c r="A177" s="7" t="s">
        <v>560</v>
      </c>
      <c r="B177" s="7" t="n">
        <v>5</v>
      </c>
      <c r="C177" s="7" t="s">
        <v>68</v>
      </c>
      <c r="D177" s="7" t="s">
        <v>61</v>
      </c>
      <c r="E177" s="7" t="s">
        <v>561</v>
      </c>
      <c r="F177" s="7" t="s">
        <v>63</v>
      </c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</row>
    <row r="178" customFormat="false" ht="15" hidden="false" customHeight="false" outlineLevel="0" collapsed="false">
      <c r="A178" s="7" t="s">
        <v>562</v>
      </c>
      <c r="B178" s="7" t="n">
        <v>5</v>
      </c>
      <c r="C178" s="7" t="s">
        <v>92</v>
      </c>
      <c r="D178" s="7" t="s">
        <v>51</v>
      </c>
      <c r="E178" s="7" t="s">
        <v>563</v>
      </c>
      <c r="F178" s="7" t="s">
        <v>53</v>
      </c>
      <c r="G178" s="7" t="s">
        <v>94</v>
      </c>
      <c r="H178" s="7" t="s">
        <v>564</v>
      </c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</row>
    <row r="179" customFormat="false" ht="15" hidden="false" customHeight="false" outlineLevel="0" collapsed="false">
      <c r="A179" s="7" t="s">
        <v>565</v>
      </c>
      <c r="B179" s="7" t="n">
        <v>5</v>
      </c>
      <c r="C179" s="7" t="s">
        <v>92</v>
      </c>
      <c r="D179" s="7" t="s">
        <v>61</v>
      </c>
      <c r="E179" s="7" t="s">
        <v>566</v>
      </c>
      <c r="F179" s="7" t="s">
        <v>63</v>
      </c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</row>
    <row r="180" customFormat="false" ht="15" hidden="false" customHeight="false" outlineLevel="0" collapsed="false">
      <c r="A180" s="7" t="s">
        <v>567</v>
      </c>
      <c r="B180" s="7" t="n">
        <v>5</v>
      </c>
      <c r="C180" s="7" t="s">
        <v>50</v>
      </c>
      <c r="D180" s="7" t="s">
        <v>61</v>
      </c>
      <c r="E180" s="7" t="s">
        <v>568</v>
      </c>
      <c r="F180" s="7" t="s">
        <v>63</v>
      </c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</row>
    <row r="181" customFormat="false" ht="15" hidden="false" customHeight="false" outlineLevel="0" collapsed="false">
      <c r="A181" s="7" t="s">
        <v>569</v>
      </c>
      <c r="B181" s="7" t="n">
        <v>5</v>
      </c>
      <c r="C181" s="7" t="s">
        <v>92</v>
      </c>
      <c r="D181" s="7" t="s">
        <v>178</v>
      </c>
      <c r="E181" s="7" t="s">
        <v>570</v>
      </c>
      <c r="F181" s="7" t="s">
        <v>180</v>
      </c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</row>
    <row r="182" customFormat="false" ht="15" hidden="false" customHeight="false" outlineLevel="0" collapsed="false">
      <c r="A182" s="7" t="s">
        <v>571</v>
      </c>
      <c r="B182" s="7" t="n">
        <v>5</v>
      </c>
      <c r="C182" s="7" t="s">
        <v>50</v>
      </c>
      <c r="D182" s="7" t="s">
        <v>51</v>
      </c>
      <c r="E182" s="7" t="s">
        <v>572</v>
      </c>
      <c r="F182" s="7" t="s">
        <v>53</v>
      </c>
      <c r="G182" s="7" t="s">
        <v>54</v>
      </c>
      <c r="H182" s="7" t="s">
        <v>573</v>
      </c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</row>
    <row r="183" customFormat="false" ht="15" hidden="false" customHeight="false" outlineLevel="0" collapsed="false">
      <c r="A183" s="7" t="s">
        <v>574</v>
      </c>
      <c r="B183" s="7" t="n">
        <v>5</v>
      </c>
      <c r="C183" s="7" t="s">
        <v>68</v>
      </c>
      <c r="D183" s="7" t="s">
        <v>51</v>
      </c>
      <c r="E183" s="7" t="s">
        <v>575</v>
      </c>
      <c r="F183" s="7" t="s">
        <v>53</v>
      </c>
      <c r="G183" s="7" t="s">
        <v>74</v>
      </c>
      <c r="H183" s="7" t="s">
        <v>576</v>
      </c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</row>
    <row r="184" customFormat="false" ht="15" hidden="false" customHeight="false" outlineLevel="0" collapsed="false">
      <c r="A184" s="7" t="s">
        <v>577</v>
      </c>
      <c r="B184" s="7" t="n">
        <v>5</v>
      </c>
      <c r="C184" s="7" t="s">
        <v>106</v>
      </c>
      <c r="D184" s="7" t="s">
        <v>61</v>
      </c>
      <c r="E184" s="7" t="s">
        <v>578</v>
      </c>
      <c r="F184" s="7" t="s">
        <v>63</v>
      </c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</row>
    <row r="185" customFormat="false" ht="15" hidden="false" customHeight="false" outlineLevel="0" collapsed="false">
      <c r="A185" s="7" t="s">
        <v>579</v>
      </c>
      <c r="B185" s="7" t="n">
        <v>5</v>
      </c>
      <c r="C185" s="7" t="s">
        <v>106</v>
      </c>
      <c r="D185" s="7" t="s">
        <v>61</v>
      </c>
      <c r="E185" s="7" t="s">
        <v>580</v>
      </c>
      <c r="F185" s="7" t="s">
        <v>63</v>
      </c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</row>
    <row r="186" customFormat="false" ht="15" hidden="false" customHeight="false" outlineLevel="0" collapsed="false">
      <c r="A186" s="7" t="s">
        <v>581</v>
      </c>
      <c r="B186" s="7" t="n">
        <v>5</v>
      </c>
      <c r="C186" s="7" t="s">
        <v>106</v>
      </c>
      <c r="D186" s="7" t="s">
        <v>51</v>
      </c>
      <c r="E186" s="7" t="s">
        <v>582</v>
      </c>
      <c r="F186" s="7" t="s">
        <v>53</v>
      </c>
      <c r="G186" s="7" t="s">
        <v>118</v>
      </c>
      <c r="H186" s="7" t="s">
        <v>583</v>
      </c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</row>
    <row r="187" customFormat="false" ht="15" hidden="false" customHeight="false" outlineLevel="0" collapsed="false">
      <c r="A187" s="7" t="s">
        <v>584</v>
      </c>
      <c r="B187" s="7" t="n">
        <v>5</v>
      </c>
      <c r="C187" s="7" t="s">
        <v>92</v>
      </c>
      <c r="D187" s="7" t="s">
        <v>147</v>
      </c>
      <c r="E187" s="7" t="s">
        <v>585</v>
      </c>
      <c r="F187" s="7" t="s">
        <v>149</v>
      </c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</row>
    <row r="188" customFormat="false" ht="15" hidden="false" customHeight="false" outlineLevel="0" collapsed="false">
      <c r="A188" s="7" t="s">
        <v>586</v>
      </c>
      <c r="B188" s="7" t="n">
        <v>5</v>
      </c>
      <c r="C188" s="7" t="s">
        <v>68</v>
      </c>
      <c r="D188" s="7" t="s">
        <v>178</v>
      </c>
      <c r="E188" s="7" t="s">
        <v>587</v>
      </c>
      <c r="F188" s="7" t="s">
        <v>180</v>
      </c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</row>
    <row r="189" customFormat="false" ht="15" hidden="false" customHeight="false" outlineLevel="0" collapsed="false">
      <c r="A189" s="7" t="s">
        <v>588</v>
      </c>
      <c r="B189" s="7" t="n">
        <v>5</v>
      </c>
      <c r="C189" s="7" t="s">
        <v>50</v>
      </c>
      <c r="D189" s="7" t="s">
        <v>178</v>
      </c>
      <c r="E189" s="7" t="s">
        <v>589</v>
      </c>
      <c r="F189" s="7" t="s">
        <v>180</v>
      </c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</row>
    <row r="190" customFormat="false" ht="15" hidden="false" customHeight="false" outlineLevel="0" collapsed="false">
      <c r="A190" s="7" t="s">
        <v>590</v>
      </c>
      <c r="B190" s="7" t="n">
        <v>5</v>
      </c>
      <c r="C190" s="7" t="s">
        <v>50</v>
      </c>
      <c r="D190" s="7" t="s">
        <v>51</v>
      </c>
      <c r="E190" s="7" t="s">
        <v>591</v>
      </c>
      <c r="F190" s="7" t="s">
        <v>53</v>
      </c>
      <c r="G190" s="7" t="s">
        <v>54</v>
      </c>
      <c r="H190" s="7" t="s">
        <v>101</v>
      </c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</row>
    <row r="191" customFormat="false" ht="15" hidden="false" customHeight="false" outlineLevel="0" collapsed="false">
      <c r="A191" s="7" t="s">
        <v>592</v>
      </c>
      <c r="B191" s="7" t="n">
        <v>5</v>
      </c>
      <c r="C191" s="7" t="s">
        <v>92</v>
      </c>
      <c r="D191" s="7" t="s">
        <v>51</v>
      </c>
      <c r="E191" s="7" t="s">
        <v>593</v>
      </c>
      <c r="F191" s="7" t="s">
        <v>53</v>
      </c>
      <c r="G191" s="7" t="s">
        <v>94</v>
      </c>
      <c r="H191" s="7" t="s">
        <v>594</v>
      </c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</row>
    <row r="192" customFormat="false" ht="15" hidden="false" customHeight="false" outlineLevel="0" collapsed="false">
      <c r="A192" s="7" t="s">
        <v>595</v>
      </c>
      <c r="B192" s="7" t="n">
        <v>5</v>
      </c>
      <c r="C192" s="7" t="s">
        <v>50</v>
      </c>
      <c r="D192" s="7" t="s">
        <v>178</v>
      </c>
      <c r="E192" s="7" t="s">
        <v>596</v>
      </c>
      <c r="F192" s="7" t="s">
        <v>180</v>
      </c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</row>
    <row r="193" customFormat="false" ht="15" hidden="false" customHeight="false" outlineLevel="0" collapsed="false">
      <c r="A193" s="7" t="s">
        <v>597</v>
      </c>
      <c r="B193" s="7" t="n">
        <v>5</v>
      </c>
      <c r="C193" s="7" t="s">
        <v>106</v>
      </c>
      <c r="D193" s="7" t="s">
        <v>61</v>
      </c>
      <c r="E193" s="7" t="s">
        <v>598</v>
      </c>
      <c r="F193" s="7" t="s">
        <v>63</v>
      </c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</row>
    <row r="194" customFormat="false" ht="15" hidden="false" customHeight="false" outlineLevel="0" collapsed="false">
      <c r="A194" s="7" t="s">
        <v>599</v>
      </c>
      <c r="B194" s="7" t="n">
        <v>5</v>
      </c>
      <c r="C194" s="7" t="s">
        <v>50</v>
      </c>
      <c r="D194" s="7" t="s">
        <v>80</v>
      </c>
      <c r="E194" s="7" t="s">
        <v>600</v>
      </c>
      <c r="F194" s="7" t="s">
        <v>82</v>
      </c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</row>
    <row r="195" customFormat="false" ht="15" hidden="false" customHeight="false" outlineLevel="0" collapsed="false">
      <c r="A195" s="7" t="s">
        <v>601</v>
      </c>
      <c r="B195" s="7" t="n">
        <v>5</v>
      </c>
      <c r="C195" s="7" t="s">
        <v>92</v>
      </c>
      <c r="D195" s="7" t="s">
        <v>80</v>
      </c>
      <c r="E195" s="7" t="s">
        <v>602</v>
      </c>
      <c r="F195" s="7" t="s">
        <v>82</v>
      </c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</row>
    <row r="196" customFormat="false" ht="15" hidden="false" customHeight="false" outlineLevel="0" collapsed="false">
      <c r="A196" s="7" t="s">
        <v>603</v>
      </c>
      <c r="B196" s="7" t="n">
        <v>5</v>
      </c>
      <c r="C196" s="7" t="s">
        <v>106</v>
      </c>
      <c r="D196" s="7" t="s">
        <v>80</v>
      </c>
      <c r="E196" s="7" t="s">
        <v>604</v>
      </c>
      <c r="F196" s="7" t="s">
        <v>82</v>
      </c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</row>
    <row r="197" customFormat="false" ht="15" hidden="false" customHeight="false" outlineLevel="0" collapsed="false">
      <c r="A197" s="7" t="s">
        <v>605</v>
      </c>
      <c r="B197" s="7" t="n">
        <v>5</v>
      </c>
      <c r="C197" s="7" t="s">
        <v>68</v>
      </c>
      <c r="D197" s="7" t="s">
        <v>61</v>
      </c>
      <c r="E197" s="7" t="s">
        <v>606</v>
      </c>
      <c r="F197" s="7" t="s">
        <v>63</v>
      </c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</row>
    <row r="198" customFormat="false" ht="15" hidden="false" customHeight="false" outlineLevel="0" collapsed="false">
      <c r="A198" s="7" t="s">
        <v>607</v>
      </c>
      <c r="B198" s="7" t="n">
        <v>5</v>
      </c>
      <c r="C198" s="7" t="s">
        <v>92</v>
      </c>
      <c r="D198" s="7" t="s">
        <v>147</v>
      </c>
      <c r="E198" s="7" t="s">
        <v>608</v>
      </c>
      <c r="F198" s="7" t="s">
        <v>149</v>
      </c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</row>
    <row r="199" customFormat="false" ht="15" hidden="false" customHeight="false" outlineLevel="0" collapsed="false">
      <c r="A199" s="7" t="s">
        <v>609</v>
      </c>
      <c r="B199" s="7" t="n">
        <v>5</v>
      </c>
      <c r="C199" s="7" t="s">
        <v>68</v>
      </c>
      <c r="D199" s="7" t="s">
        <v>61</v>
      </c>
      <c r="E199" s="7" t="s">
        <v>610</v>
      </c>
      <c r="F199" s="7" t="s">
        <v>63</v>
      </c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</row>
    <row r="200" customFormat="false" ht="15" hidden="false" customHeight="false" outlineLevel="0" collapsed="false">
      <c r="A200" s="7" t="s">
        <v>611</v>
      </c>
      <c r="B200" s="7" t="n">
        <v>5</v>
      </c>
      <c r="C200" s="7" t="s">
        <v>106</v>
      </c>
      <c r="D200" s="7" t="s">
        <v>61</v>
      </c>
      <c r="E200" s="7" t="s">
        <v>612</v>
      </c>
      <c r="F200" s="7" t="s">
        <v>63</v>
      </c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</row>
    <row r="201" customFormat="false" ht="15" hidden="false" customHeight="false" outlineLevel="0" collapsed="false">
      <c r="A201" s="7" t="s">
        <v>613</v>
      </c>
      <c r="B201" s="7" t="n">
        <v>5</v>
      </c>
      <c r="C201" s="7" t="s">
        <v>68</v>
      </c>
      <c r="D201" s="7" t="s">
        <v>61</v>
      </c>
      <c r="E201" s="7" t="s">
        <v>614</v>
      </c>
      <c r="F201" s="7" t="s">
        <v>63</v>
      </c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</row>
  </sheetData>
  <autoFilter ref="A1:S201"/>
  <dataValidations count="1">
    <dataValidation allowBlank="true" errorStyle="stop" operator="between" showDropDown="false" showErrorMessage="false" showInputMessage="false" sqref="O2:S201" type="list">
      <formula1>"claude_draft,native_verified,native_corrected,native_written"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2"/>
    <col collapsed="false" customWidth="true" hidden="false" outlineLevel="0" max="3" min="3" style="0" width="22"/>
    <col collapsed="false" customWidth="true" hidden="false" outlineLevel="0" max="4" min="4" style="0" width="34"/>
    <col collapsed="false" customWidth="true" hidden="false" outlineLevel="0" max="5" min="5" style="0" width="70"/>
  </cols>
  <sheetData>
    <row r="1" customFormat="false" ht="15" hidden="false" customHeight="false" outlineLevel="0" collapsed="false">
      <c r="A1" s="9" t="s">
        <v>51</v>
      </c>
      <c r="B1" s="9" t="s">
        <v>33</v>
      </c>
      <c r="C1" s="9" t="s">
        <v>615</v>
      </c>
      <c r="D1" s="9" t="s">
        <v>616</v>
      </c>
      <c r="E1" s="9" t="s">
        <v>617</v>
      </c>
    </row>
    <row r="2" customFormat="false" ht="23.85" hidden="false" customHeight="false" outlineLevel="0" collapsed="false">
      <c r="A2" s="7" t="s">
        <v>94</v>
      </c>
      <c r="B2" s="7" t="s">
        <v>92</v>
      </c>
      <c r="C2" s="7" t="s">
        <v>618</v>
      </c>
      <c r="D2" s="7" t="s">
        <v>619</v>
      </c>
      <c r="E2" s="7" t="s">
        <v>620</v>
      </c>
    </row>
    <row r="3" customFormat="false" ht="15" hidden="false" customHeight="false" outlineLevel="0" collapsed="false">
      <c r="A3" s="7" t="s">
        <v>118</v>
      </c>
      <c r="B3" s="7" t="s">
        <v>106</v>
      </c>
      <c r="C3" s="7" t="s">
        <v>621</v>
      </c>
      <c r="D3" s="7" t="s">
        <v>622</v>
      </c>
      <c r="E3" s="7" t="s">
        <v>623</v>
      </c>
    </row>
    <row r="4" customFormat="false" ht="15" hidden="false" customHeight="false" outlineLevel="0" collapsed="false">
      <c r="A4" s="7" t="s">
        <v>54</v>
      </c>
      <c r="B4" s="7" t="s">
        <v>50</v>
      </c>
      <c r="C4" s="7" t="s">
        <v>624</v>
      </c>
      <c r="D4" s="7" t="s">
        <v>625</v>
      </c>
      <c r="E4" s="7" t="s">
        <v>626</v>
      </c>
    </row>
    <row r="5" customFormat="false" ht="15" hidden="false" customHeight="false" outlineLevel="0" collapsed="false">
      <c r="A5" s="7" t="s">
        <v>74</v>
      </c>
      <c r="B5" s="7" t="s">
        <v>68</v>
      </c>
      <c r="C5" s="7" t="s">
        <v>627</v>
      </c>
      <c r="D5" s="7" t="s">
        <v>628</v>
      </c>
      <c r="E5" s="7" t="s">
        <v>629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6"/>
    <col collapsed="false" customWidth="true" hidden="false" outlineLevel="0" max="3" min="3" style="0" width="18"/>
    <col collapsed="false" customWidth="true" hidden="false" outlineLevel="0" max="4" min="4" style="0" width="16"/>
    <col collapsed="false" customWidth="true" hidden="false" outlineLevel="0" max="5" min="5" style="0" width="14"/>
    <col collapsed="false" customWidth="true" hidden="false" outlineLevel="0" max="6" min="6" style="0" width="18"/>
    <col collapsed="false" customWidth="true" hidden="false" outlineLevel="0" max="7" min="7" style="0" width="14"/>
  </cols>
  <sheetData>
    <row r="1" customFormat="false" ht="15" hidden="false" customHeight="false" outlineLevel="0" collapsed="false">
      <c r="A1" s="10" t="s">
        <v>630</v>
      </c>
    </row>
    <row r="2" customFormat="false" ht="15" hidden="false" customHeight="false" outlineLevel="0" collapsed="false">
      <c r="A2" s="11" t="s">
        <v>34</v>
      </c>
      <c r="B2" s="11" t="s">
        <v>631</v>
      </c>
      <c r="C2" s="11" t="s">
        <v>632</v>
      </c>
      <c r="D2" s="11" t="s">
        <v>633</v>
      </c>
    </row>
    <row r="3" customFormat="false" ht="15" hidden="false" customHeight="false" outlineLevel="0" collapsed="false">
      <c r="A3" s="12" t="s">
        <v>61</v>
      </c>
      <c r="B3" s="12" t="n">
        <f aca="false">COUNTIF(Base_Queries!$D$2:$D$201,A3)</f>
        <v>90</v>
      </c>
      <c r="C3" s="12" t="n">
        <v>90</v>
      </c>
      <c r="D3" s="12" t="str">
        <f aca="false">IF(B3=C3,"OK","CHECK")</f>
        <v>OK</v>
      </c>
    </row>
    <row r="4" customFormat="false" ht="15" hidden="false" customHeight="false" outlineLevel="0" collapsed="false">
      <c r="A4" s="12" t="s">
        <v>51</v>
      </c>
      <c r="B4" s="12" t="n">
        <f aca="false">COUNTIF(Base_Queries!$D$2:$D$201,A4)</f>
        <v>40</v>
      </c>
      <c r="C4" s="12" t="n">
        <v>40</v>
      </c>
      <c r="D4" s="12" t="str">
        <f aca="false">IF(B4=C4,"OK","CHECK")</f>
        <v>OK</v>
      </c>
    </row>
    <row r="5" customFormat="false" ht="15" hidden="false" customHeight="false" outlineLevel="0" collapsed="false">
      <c r="A5" s="12" t="s">
        <v>80</v>
      </c>
      <c r="B5" s="12" t="n">
        <f aca="false">COUNTIF(Base_Queries!$D$2:$D$201,A5)</f>
        <v>30</v>
      </c>
      <c r="C5" s="12" t="n">
        <v>30</v>
      </c>
      <c r="D5" s="12" t="str">
        <f aca="false">IF(B5=C5,"OK","CHECK")</f>
        <v>OK</v>
      </c>
    </row>
    <row r="6" customFormat="false" ht="15" hidden="false" customHeight="false" outlineLevel="0" collapsed="false">
      <c r="A6" s="12" t="s">
        <v>178</v>
      </c>
      <c r="B6" s="12" t="n">
        <f aca="false">COUNTIF(Base_Queries!$D$2:$D$201,A6)</f>
        <v>25</v>
      </c>
      <c r="C6" s="12" t="n">
        <v>25</v>
      </c>
      <c r="D6" s="12" t="str">
        <f aca="false">IF(B6=C6,"OK","CHECK")</f>
        <v>OK</v>
      </c>
    </row>
    <row r="7" customFormat="false" ht="15" hidden="false" customHeight="false" outlineLevel="0" collapsed="false">
      <c r="A7" s="12" t="s">
        <v>147</v>
      </c>
      <c r="B7" s="12" t="n">
        <f aca="false">COUNTIF(Base_Queries!$D$2:$D$201,A7)</f>
        <v>15</v>
      </c>
      <c r="C7" s="12" t="n">
        <v>15</v>
      </c>
      <c r="D7" s="12" t="str">
        <f aca="false">IF(B7=C7,"OK","CHECK")</f>
        <v>OK</v>
      </c>
    </row>
    <row r="8" customFormat="false" ht="15" hidden="false" customHeight="false" outlineLevel="0" collapsed="false">
      <c r="A8" s="12" t="s">
        <v>634</v>
      </c>
      <c r="B8" s="12" t="n">
        <f aca="false">SUM(B3:B7)</f>
        <v>200</v>
      </c>
      <c r="C8" s="12" t="n">
        <f aca="false">SUM(C3:C7)</f>
        <v>200</v>
      </c>
      <c r="D8" s="12" t="str">
        <f aca="false">IF(B8=C8,"OK","CHECK")</f>
        <v>OK</v>
      </c>
    </row>
    <row r="11" customFormat="false" ht="15" hidden="false" customHeight="false" outlineLevel="0" collapsed="false">
      <c r="A11" s="13" t="s">
        <v>635</v>
      </c>
    </row>
    <row r="12" customFormat="false" ht="15" hidden="false" customHeight="false" outlineLevel="0" collapsed="false">
      <c r="A12" s="11" t="s">
        <v>636</v>
      </c>
      <c r="B12" s="11" t="s">
        <v>21</v>
      </c>
      <c r="C12" s="11" t="s">
        <v>637</v>
      </c>
      <c r="D12" s="11" t="s">
        <v>638</v>
      </c>
      <c r="E12" s="11" t="s">
        <v>639</v>
      </c>
      <c r="F12" s="11" t="s">
        <v>640</v>
      </c>
      <c r="G12" s="11" t="s">
        <v>641</v>
      </c>
    </row>
    <row r="13" customFormat="false" ht="15" hidden="false" customHeight="false" outlineLevel="0" collapsed="false">
      <c r="A13" s="12" t="s">
        <v>39</v>
      </c>
      <c r="B13" s="12" t="n">
        <f aca="false">COUNTIF(Base_Queries!$O$2:$O$201,"native_verified")</f>
        <v>0</v>
      </c>
      <c r="C13" s="12" t="n">
        <f aca="false">COUNTIF(Base_Queries!$O$2:$O$201,"native_corrected")</f>
        <v>0</v>
      </c>
      <c r="D13" s="12" t="n">
        <f aca="false">COUNTIF(Base_Queries!$O$2:$O$201,"native_written")</f>
        <v>0</v>
      </c>
      <c r="E13" s="12" t="n">
        <f aca="false">SUM(B13:D13)</f>
        <v>0</v>
      </c>
      <c r="F13" s="12" t="n">
        <f aca="false">COUNTIF(Base_Queries!$O$2:$O$201,"claude_draft")</f>
        <v>40</v>
      </c>
      <c r="G13" s="14" t="n">
        <f aca="false">E13/COUNTA(Base_Queries!$A$2:$A$201)</f>
        <v>0</v>
      </c>
    </row>
    <row r="14" customFormat="false" ht="15" hidden="false" customHeight="false" outlineLevel="0" collapsed="false">
      <c r="A14" s="12" t="s">
        <v>40</v>
      </c>
      <c r="B14" s="12" t="n">
        <f aca="false">COUNTIF(Base_Queries!$P$2:$P$201,"native_verified")</f>
        <v>0</v>
      </c>
      <c r="C14" s="12" t="n">
        <f aca="false">COUNTIF(Base_Queries!$P$2:$P$201,"native_corrected")</f>
        <v>0</v>
      </c>
      <c r="D14" s="12" t="n">
        <f aca="false">COUNTIF(Base_Queries!$P$2:$P$201,"native_written")</f>
        <v>0</v>
      </c>
      <c r="E14" s="12" t="n">
        <f aca="false">SUM(B14:D14)</f>
        <v>0</v>
      </c>
      <c r="F14" s="12" t="n">
        <f aca="false">COUNTIF(Base_Queries!$P$2:$P$201,"claude_draft")</f>
        <v>0</v>
      </c>
      <c r="G14" s="14" t="n">
        <f aca="false">E14/COUNTA(Base_Queries!$A$2:$A$201)</f>
        <v>0</v>
      </c>
    </row>
    <row r="15" customFormat="false" ht="15" hidden="false" customHeight="false" outlineLevel="0" collapsed="false">
      <c r="A15" s="12" t="s">
        <v>41</v>
      </c>
      <c r="B15" s="12" t="n">
        <f aca="false">COUNTIF(Base_Queries!$Q$2:$Q$201,"native_verified")</f>
        <v>0</v>
      </c>
      <c r="C15" s="12" t="n">
        <f aca="false">COUNTIF(Base_Queries!$Q$2:$Q$201,"native_corrected")</f>
        <v>0</v>
      </c>
      <c r="D15" s="12" t="n">
        <f aca="false">COUNTIF(Base_Queries!$Q$2:$Q$201,"native_written")</f>
        <v>0</v>
      </c>
      <c r="E15" s="12" t="n">
        <f aca="false">SUM(B15:D15)</f>
        <v>0</v>
      </c>
      <c r="F15" s="12" t="n">
        <f aca="false">COUNTIF(Base_Queries!$Q$2:$Q$201,"claude_draft")</f>
        <v>40</v>
      </c>
      <c r="G15" s="14" t="n">
        <f aca="false">E15/COUNTA(Base_Queries!$A$2:$A$201)</f>
        <v>0</v>
      </c>
    </row>
    <row r="16" customFormat="false" ht="15" hidden="false" customHeight="false" outlineLevel="0" collapsed="false">
      <c r="A16" s="12" t="s">
        <v>42</v>
      </c>
      <c r="B16" s="12" t="n">
        <f aca="false">COUNTIF(Base_Queries!$R$2:$R$201,"native_verified")</f>
        <v>0</v>
      </c>
      <c r="C16" s="12" t="n">
        <f aca="false">COUNTIF(Base_Queries!$R$2:$R$201,"native_corrected")</f>
        <v>0</v>
      </c>
      <c r="D16" s="12" t="n">
        <f aca="false">COUNTIF(Base_Queries!$R$2:$R$201,"native_written")</f>
        <v>0</v>
      </c>
      <c r="E16" s="12" t="n">
        <f aca="false">SUM(B16:D16)</f>
        <v>0</v>
      </c>
      <c r="F16" s="12" t="n">
        <f aca="false">COUNTIF(Base_Queries!$R$2:$R$201,"claude_draft")</f>
        <v>40</v>
      </c>
      <c r="G16" s="14" t="n">
        <f aca="false">E16/COUNTA(Base_Queries!$A$2:$A$201)</f>
        <v>0</v>
      </c>
    </row>
    <row r="17" customFormat="false" ht="15" hidden="false" customHeight="false" outlineLevel="0" collapsed="false">
      <c r="A17" s="12" t="s">
        <v>43</v>
      </c>
      <c r="B17" s="12" t="n">
        <f aca="false">COUNTIF(Base_Queries!$S$2:$S$201,"native_verified")</f>
        <v>0</v>
      </c>
      <c r="C17" s="12" t="n">
        <f aca="false">COUNTIF(Base_Queries!$S$2:$S$201,"native_corrected")</f>
        <v>0</v>
      </c>
      <c r="D17" s="12" t="n">
        <f aca="false">COUNTIF(Base_Queries!$S$2:$S$201,"native_written")</f>
        <v>0</v>
      </c>
      <c r="E17" s="12" t="n">
        <f aca="false">SUM(B17:D17)</f>
        <v>0</v>
      </c>
      <c r="F17" s="12" t="n">
        <f aca="false">COUNTIF(Base_Queries!$S$2:$S$201,"claude_draft")</f>
        <v>0</v>
      </c>
      <c r="G17" s="14" t="n">
        <f aca="false">E17/COUNTA(Base_Queries!$A$2:$A$201)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2026-10-26T04:51:01Z</dcterms:created>
  <dc:creator>openpyxl</dc:creator>
  <dc:description/>
  <dc:language>en-US</dc:language>
  <cp:lastModifiedBy/>
  <dcterms:modified xsi:type="dcterms:W3CDTF">2026-10-26T04:51:01Z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