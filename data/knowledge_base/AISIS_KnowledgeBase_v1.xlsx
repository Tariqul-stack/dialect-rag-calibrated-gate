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B" sheetId="2" state="visible" r:id="rId4"/>
    <sheet name="Gold_Map" sheetId="3" state="visible" r:id="rId5"/>
    <sheet name="Paste_Column_I" sheetId="4" state="visible" r:id="rId6"/>
    <sheet name="Stats" sheetId="5" state="visible" r:id="rId7"/>
  </sheets>
  <definedNames>
    <definedName function="false" hidden="true" localSheetId="1" name="_xlnm._FilterDatabase" vbProcedure="false">KB!$A$1:$H$137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<sst xmlns="http://schemas.openxmlformats.org/spreadsheetml/2006/main" count="1937" uniqueCount="774">
  <si>
    <t xml:space="preserve">AISIS Knowledge Base v1</t>
  </si>
  <si>
    <t xml:space="preserve">Purpose</t>
  </si>
  <si>
    <t xml:space="preserve">Retrieval corpus for the rural voice-agent paper. Sheet 'KB' is the corpus the retriever searches. Do not put query text or query IDs into it.</t>
  </si>
  <si>
    <t xml:space="preserve">Written by</t>
  </si>
  <si>
    <t xml:space="preserve">Claude, from general public guidance. NOT checked against official sources. Every passage needs a human check before it is cited as fact.</t>
  </si>
  <si>
    <t xml:space="preserve">confidence column</t>
  </si>
  <si>
    <t xml:space="preserve">high = widely stable guidance; medium = standard guidance but verify details; check = rules, eligibility or procedures that change (verify with the 'verify_with' source before use).</t>
  </si>
  <si>
    <t xml:space="preserve">review_status column</t>
  </si>
  <si>
    <t xml:space="preserve">Your column. Pick verified_ok, needs_fix or removed after checking. If you remove a passage that is the gold passage for a query, tell Claude so the query can be relabeled.</t>
  </si>
  <si>
    <t xml:space="preserve">Passage types</t>
  </si>
  <si>
    <t xml:space="preserve">info = answers one or more base queries; emergency = danger-sign passages used as gold for high_risk queries (expected behaviour: refer to clinic); distractor = related passages with no gold query, so retrieval is not trivial.</t>
  </si>
  <si>
    <t xml:space="preserve">Deliberately NOT covered</t>
  </si>
  <si>
    <t xml:space="preserve">Items the unanswerable queries ask about (costs of operations, brand recommendations, future prices or weather, loan waivers, legal cases over forged records, medicine changes) are absent on purpose. Do not add them.</t>
  </si>
  <si>
    <t xml:space="preserve">Joining to queries</t>
  </si>
  <si>
    <t xml:space="preserve">Sheet 'Gold_Map' lists query_id -&gt; gold_passage_id. Sheet 'Paste_Column_I' has one gold_passage_id per query in the same order as Base_Queries (Q001..Q200); paste it into column I of the query sheet.</t>
  </si>
  <si>
    <t xml:space="preserve">Health safety</t>
  </si>
  <si>
    <t xml:space="preserve">No diagnosis, no drug names with doses. Danger-sign passages tell the user to go to a hospital. Keep it that way when editing.</t>
  </si>
  <si>
    <t xml:space="preserve">passage_id</t>
  </si>
  <si>
    <t xml:space="preserve">topic</t>
  </si>
  <si>
    <t xml:space="preserve">ptype</t>
  </si>
  <si>
    <t xml:space="preserve">title</t>
  </si>
  <si>
    <t xml:space="preserve">text</t>
  </si>
  <si>
    <t xml:space="preserve">confidence</t>
  </si>
  <si>
    <t xml:space="preserve">verify_with</t>
  </si>
  <si>
    <t xml:space="preserve">review_status</t>
  </si>
  <si>
    <t xml:space="preserve">H-001</t>
  </si>
  <si>
    <t xml:space="preserve">swasthyo</t>
  </si>
  <si>
    <t xml:space="preserve">info</t>
  </si>
  <si>
    <t xml:space="preserve">জ্বরে বাড়িতে যত্ন</t>
  </si>
  <si>
    <t xml:space="preserve">জ্বর হলে বিশ্রামে থাকুন, প্রচুর পানি, স্যালাইন ও তরল খাবার খান এবং হালকা পোশাক পরুন। গা খুব গরম লাগলে কুসুম গরম পানিতে কাপড় ভিজিয়ে শরীর মুছে দিন। ওষুধ খেতে হলে ফার্মাসিস্ট বা ডাক্তারের পরামর্শ নিন। জ্বর তিন দিনের বেশি থাকলে, খিঁচুনি, ঘাড় শক্ত, শ্বাসকষ্ট বা অতিরিক্ত দুর্বলতা হলে দ্রুত স্বাস্থ্যকেন্দ্রে যান।</t>
  </si>
  <si>
    <t xml:space="preserve">high</t>
  </si>
  <si>
    <t xml:space="preserve">স্বাস্থ্য অধিদপ্তর / ডব্লিউএইচও নির্দেশিকা</t>
  </si>
  <si>
    <t xml:space="preserve">H-002</t>
  </si>
  <si>
    <t xml:space="preserve">খাবার স্যালাইন ও ডায়রিয়া</t>
  </si>
  <si>
    <t xml:space="preserve">ডায়রিয়া হলে খাবার স্যালাইনের প্যাকেট সবচেয়ে ভালো। প্যাকেটের গায়ে লেখা নিয়ম অনুযায়ী পরিষ্কার ও ফোটানো ঠান্ডা পানিতে ভালো করে গুলে বারবার অল্প অল্প করে খান। প্যাকেট না থাকলে এক লিটার পানিতে ছয় চা-চামচ চিনি ও আধা চা-চামচ লবণ মিশিয়ে ঘরে স্যালাইন বানানো যায়। বানানো স্যালাইন চব্বিশ ঘণ্টার বেশি রাখবেন না।</t>
  </si>
  <si>
    <t xml:space="preserve">medium</t>
  </si>
  <si>
    <t xml:space="preserve">H-003</t>
  </si>
  <si>
    <t xml:space="preserve">ডায়রিয়ায় বিপদের লক্ষণ</t>
  </si>
  <si>
    <t xml:space="preserve">ডায়রিয়ার সঙ্গে পায়খানায় রক্ত, ঘন ঘন বমি, চোখ বসে যাওয়া, খুব পিপাসা, নেতিয়ে পড়া, পানি না খেতে পারা, প্রস্রাব কমে যাওয়া বা তিন দিনের বেশি ডায়রিয়া থাকলে দেরি না করে হাসপাতালে নিন। শিশু ও বয়স্কদের ক্ষেত্রে আরও দ্রুত যেতে হবে। স্বাস্থ্যকর্মীর পরামর্শে শিশুকে জিংক ট্যাবলেট দেওয়া যায়।</t>
  </si>
  <si>
    <t xml:space="preserve">H-004</t>
  </si>
  <si>
    <t xml:space="preserve">হাম-রুবেলা টিকা</t>
  </si>
  <si>
    <t xml:space="preserve">হাম-রুবেলার টিকা শিশুকে সাধারণত নয় মাস বয়সে প্রথম ডোজ এবং পনেরো মাস বয়সে দ্বিতীয় ডোজ দেওয়া হয়। সরকারি টিকাদান কর্মসূচিতে এটি কমিউনিটি ক্লিনিক ও স্বাস্থ্যকেন্দ্রে বিনামূল্যে পাওয়া যায়। টিকার কার্ড যত্ন করে রাখুন।</t>
  </si>
  <si>
    <t xml:space="preserve">H-005</t>
  </si>
  <si>
    <t xml:space="preserve">বুকের দুধ খাওয়ানো</t>
  </si>
  <si>
    <t xml:space="preserve">জন্মের এক ঘণ্টার মধ্যে শিশুকে বুকের দুধ শুরু করুন এবং ছয় মাস বয়স পর্যন্ত শুধু বুকের দুধ খাওয়ান, আলাদা পানি বা অন্য খাবার নয়। ছয় মাস পর থেকে বাড়তি খাবারের সঙ্গে দুই বছর বা তার বেশি সময় বুকের দুধ চালিয়ে যান।</t>
  </si>
  <si>
    <t xml:space="preserve">H-006</t>
  </si>
  <si>
    <t xml:space="preserve">হাত ধোয়ার নিয়ম</t>
  </si>
  <si>
    <t xml:space="preserve">সাবান ও পরিষ্কার পানি দিয়ে কমপক্ষে বিশ সেকেন্ড ধরে হাতের তালু, উল্টো পিঠ, আঙুলের ফাঁক, নখ ও কবজি ঘষে ধুতে হয়। খাবার খাওয়া ও রান্নার আগে, শিশুকে খাওয়ানোর আগে এবং পায়খানার পর ও শিশুর ময়লা পরিষ্কার করার পর হাত ধোয়া জরুরি। সাবান না থাকলে ছাই দিয়ে ধোয়া যেতে পারে।</t>
  </si>
  <si>
    <t xml:space="preserve">H-007</t>
  </si>
  <si>
    <t xml:space="preserve">না ফুটিয়ে পানি পানের ঝুঁকি</t>
  </si>
  <si>
    <t xml:space="preserve">ফোটানো ছাড়া দূষিত পানি খেলে ডায়রিয়া, আমাশয়, টাইফয়েড, কলেরা ও জন্ডিসের মতো রোগ হতে পারে। পানি ফুটে ওঠার পর কয়েক মিনিট ফুটিয়ে ঢেকে ঠান্ডা করে খেতে হয়। তবে ফোটালে পানির আর্সেনিক দূর হয় না, তাই আর্সেনিকমুক্ত নলকূপ ব্যবহার করুন।</t>
  </si>
  <si>
    <t xml:space="preserve">H-008</t>
  </si>
  <si>
    <t xml:space="preserve">শিশুর কাশিতে ডাক্তার দেখানোর সময়</t>
  </si>
  <si>
    <t xml:space="preserve">শিশুর কাশির সঙ্গে দ্রুত শ্বাস, বুক ভেতরে ঢুকে যাওয়া, খেতে বা দুধ টানতে না পারা, ঠোঁট নীল হওয়া, তিন দিনের বেশি জ্বর বা দুই সপ্তাহের বেশি কাশি থাকলে দেরি না করে ডাক্তারের কাছে নিন।</t>
  </si>
  <si>
    <t xml:space="preserve">H-009</t>
  </si>
  <si>
    <t xml:space="preserve">শিশুর সর্দি-কাশিতে ঘরোয়া যত্ন</t>
  </si>
  <si>
    <t xml:space="preserve">সর্দি-কাশিতে শিশুকে গরম রাখুন, বুকের দুধ বা তরল খাবার বেশি দিন, নাক পরিষ্কার রাখুন এবং রান্নার ধোঁয়া থেকে দূরে রাখুন। ডাক্তারের পরামর্শ ছাড়া কাশির সিরাপ বা অ্যান্টিবায়োটিক দেবেন না। লক্ষণ বাড়লে স্বাস্থ্যকেন্দ্রে যান।</t>
  </si>
  <si>
    <t xml:space="preserve">H-010</t>
  </si>
  <si>
    <t xml:space="preserve">কৃমি থেকে প্রতিরোধ</t>
  </si>
  <si>
    <t xml:space="preserve">কৃমি থেকে বাঁচতে পায়খানার পর ও খাওয়ার আগে সাবানে হাত ধোন, নখ ছোট রাখুন, খালি পায়ে না হাঁটুন, ফল-সবজি ভালো করে ধুয়ে খান এবং নিরাপদ পানি পান করুন। স্বাস্থ্যকর্মীর পরামর্শ অনুযায়ী নির্দিষ্ট সময় পরপর কৃমিনাশক খাওয়া যায়।</t>
  </si>
  <si>
    <t xml:space="preserve">H-011</t>
  </si>
  <si>
    <t xml:space="preserve">ডেঙ্গু প্রতিরোধ</t>
  </si>
  <si>
    <t xml:space="preserve">ডেঙ্গু এডিস মশার মাধ্যমে ছড়ায়, যা দিনের বেলা কামড়ায়। ফুলের টব, পুরোনো টায়ার, ডাবের খোসা ও বালতিতে জমে থাকা পানি প্রতি সপ্তাহে ফেলে দিন এবং মশারি বা মশা নিরোধক ব্যবহার করুন। পেটে তীব্র ব্যথা, বারবার বমি, রক্তক্ষরণ বা খুব দুর্বলতা দেখা দিলে অবিলম্বে হাসপাতালে যান; ডাক্তারের পরামর্শ ছাড়া ব্যথানাশক ওষুধ খাবেন না।</t>
  </si>
  <si>
    <t xml:space="preserve">H-012</t>
  </si>
  <si>
    <t xml:space="preserve">উচ্চ রক্তচাপে খাদ্যাভ্যাস</t>
  </si>
  <si>
    <t xml:space="preserve">উচ্চ রক্তচাপে লবণ কম খান, ভাজাপোড়া ও প্রক্রিয়াজাত খাবার সীমিত রাখুন, শাকসবজি ও ফল বেশি খান, নিয়মিত হাঁটুন এবং ধূমপান ও জর্দা-সুপারি এড়িয়ে চলুন। ডাক্তারের দেওয়া ওষুধ নিজে থেকে বন্ধ করবেন না এবং নিয়মিত রক্তচাপ মাপান।</t>
  </si>
  <si>
    <t xml:space="preserve">H-013</t>
  </si>
  <si>
    <t xml:space="preserve">গর্ভাবস্থায় চেকআপ</t>
  </si>
  <si>
    <t xml:space="preserve">গর্ভাবস্থায় কমপক্ষে চারবার স্বাস্থ্যকেন্দ্রে চেকআপ করানো ভালো; ঝুঁকি থাকলে আরও বেশি। প্রথম চেকআপ গর্ভাবস্থার প্রথম চার মাসের মধ্যে করা উচিত। রক্তপাত, তীব্র মাথাব্যথা, ঝাপসা দেখা, মুখ বা পা ফুলে যাওয়া, খিঁচুনি, জ্বর বা বাচ্চার নড়াচড়া কমে গেলে দেরি না করে হাসপাতালে যান।</t>
  </si>
  <si>
    <t xml:space="preserve">H-014</t>
  </si>
  <si>
    <t xml:space="preserve">গর্ভবতী মায়ের খাবার</t>
  </si>
  <si>
    <t xml:space="preserve">গর্ভবতী মা দিনে অতিরিক্ত এক বেলা খাবার খাবেন; ভাত-রুটির সঙ্গে ডাল, ডিম, মাছ-মাংস, দুধ, গাঢ় সবুজ শাক ও মৌসুমি ফল রাখুন। স্বাস্থ্যকর্মীর দেওয়া আয়রন-ফলিক অ্যাসিড ট্যাবলেট নিয়মিত খান এবং প্রচুর বিশুদ্ধ পানি পান করুন।</t>
  </si>
  <si>
    <t xml:space="preserve">H-015</t>
  </si>
  <si>
    <t xml:space="preserve">কম ওজনের শিশুর খাবার</t>
  </si>
  <si>
    <t xml:space="preserve">ছয় মাসের পর শিশুকে বুকের দুধের পাশাপাশি দিনে কয়েকবার ঘন খিচুড়ি, ডিম, মাছ, সবজি ও তেল মেশানো খাবার দিন। অসুস্থ থাকলেও খাওয়ানো বন্ধ করবেন না। কমিউনিটি ক্লিনিকে নিয়মিত ওজন মাপান এবং ওজন বাড়ছে না বা খুব রোগা দেখালে স্বাস্থ্যকর্মীকে দেখান।</t>
  </si>
  <si>
    <t xml:space="preserve">H-016</t>
  </si>
  <si>
    <t xml:space="preserve">distractor</t>
  </si>
  <si>
    <t xml:space="preserve">ভিটামিন এ ক্যাপসুল</t>
  </si>
  <si>
    <t xml:space="preserve">ছয় মাস থেকে পাঁচ বছর বয়সী শিশুদের নির্দিষ্ট সময় পরপর ভিটামিন এ ক্যাপসুল খাওয়ানো হয়, যা রাতকানা ও রোগ প্রতিরোধে সাহায্য করে। কমিউনিটি ক্লিনিক ও স্বাস্থ্যকর্মীর কাছে এটি পাওয়া যায়।</t>
  </si>
  <si>
    <t xml:space="preserve">H-017</t>
  </si>
  <si>
    <t xml:space="preserve">নারীদের টিটেনাস টিকা</t>
  </si>
  <si>
    <t xml:space="preserve">গর্ভবতী ও সন্তান নেওয়ার বয়সী নারীদের ধনুষ্টংকারের টিকা দেওয়ার নিয়ম আছে। টিকার সংখ্যা ও সময় জানতে স্বাস্থ্যকর্মী বা কমিউনিটি ক্লিনিকে যোগাযোগ করুন।</t>
  </si>
  <si>
    <t xml:space="preserve">H-018</t>
  </si>
  <si>
    <t xml:space="preserve">জলবসন্ত</t>
  </si>
  <si>
    <t xml:space="preserve">জলবসন্তে জ্বরের সঙ্গে শরীরে পানি ভরা ফোসকা হয়। রোগীকে আলাদা রাখুন, ফোসকা চুলকিয়ে ছিঁড়বেন না, নখ ছোট রাখুন এবং পরিষ্কার-পরিচ্ছন্ন থাকুন।</t>
  </si>
  <si>
    <t xml:space="preserve">H-019</t>
  </si>
  <si>
    <t xml:space="preserve">কিশোরীদের রক্তস্বল্পতা</t>
  </si>
  <si>
    <t xml:space="preserve">কিশোরী ও নারীদের রক্তস্বল্পতা এড়াতে আয়রনসমৃদ্ধ খাবার (কলিজা, ডিম, শাক, ডাল) খাওয়া ভালো। স্বাস্থ্যকর্মীর পরামর্শে আয়রন ট্যাবলেট নেওয়া যায়।</t>
  </si>
  <si>
    <t xml:space="preserve">H-020</t>
  </si>
  <si>
    <t xml:space="preserve">চোখের যত্ন</t>
  </si>
  <si>
    <t xml:space="preserve">চোখে ঝাপসা দেখা বা ব্যথা হলে বা ছানির লক্ষণ থাকলে ডাক্তারের পরামর্শ নেওয়া ভালো। নিজে নিজে চোখে কোনো ওষুধ বা ঘরোয়া জিনিস দেবেন না।</t>
  </si>
  <si>
    <t xml:space="preserve">H-021</t>
  </si>
  <si>
    <t xml:space="preserve">পরিবার পরিকল্পনার পদ্ধতি</t>
  </si>
  <si>
    <t xml:space="preserve">পরিবার পরিকল্পনার বিভিন্ন পদ্ধতি আছে, যেমন খাবার বড়ি, ইনজেকশন ও কনডম। কোন পদ্ধতি উপযুক্ত তা জানতে পরিবার কল্যাণ সহকারী বা স্বাস্থ্যকেন্দ্রে পরামর্শ নিন।</t>
  </si>
  <si>
    <t xml:space="preserve">H-022</t>
  </si>
  <si>
    <t xml:space="preserve">খোস-পাঁচড়া</t>
  </si>
  <si>
    <t xml:space="preserve">খোস-পাঁচড়ায় ত্বকে প্রচণ্ড চুলকানি হয়, বিশেষ করে রাতে। পরিবারের সবাইকে একসঙ্গে চিকিৎসা করাতে হয় এবং কাপড়-বিছানা গরম পানিতে ধুয়ে রোদে শুকাতে হয়।</t>
  </si>
  <si>
    <t xml:space="preserve">H-023</t>
  </si>
  <si>
    <t xml:space="preserve">স্বাস্থ্যসম্মত পায়খানা</t>
  </si>
  <si>
    <t xml:space="preserve">স্বাস্থ্যসম্মত পায়খানা ব্যবহার করুন, পায়খানা ঢাকনাযুক্ত রাখুন এবং শিশুর মলও পায়খানায় ফেলুন। পায়খানা ব্যবহারের পর সাবান দিয়ে হাত ধোন।</t>
  </si>
  <si>
    <t xml:space="preserve">E-001</t>
  </si>
  <si>
    <t xml:space="preserve">emergency</t>
  </si>
  <si>
    <t xml:space="preserve">শিশুর খিঁচুনি</t>
  </si>
  <si>
    <t xml:space="preserve">শিশুর খিঁচুনি হলে তাকে একপাশে কাত করে শুইয়ে দিন, গায়ের আঁটসাঁট কাপড় ঢিলা করুন এবং মুখে কিছু দেবেন না বা হাত-পা চেপে ধরবেন না। খিঁচুনি কত সময় চলল তা খেয়াল রাখুন এবং থেমে গেলেও এখনই শিশুকে হাসপাতালে নিন।</t>
  </si>
  <si>
    <t xml:space="preserve">E-002</t>
  </si>
  <si>
    <t xml:space="preserve">সাপে কামড়ালে</t>
  </si>
  <si>
    <t xml:space="preserve">সাপে কামড়ালে রোগীকে শান্ত রেখে কামড়ানো অঙ্গ নড়াচড়া না করিয়ে স্থির রাখুন এবং আংটি-চুড়ি খুলে ফেলুন। কামড়ের জায়গা কাটা, মুখে বিষ টানা বা ওঝা-কবিরাজের কাছে সময় নষ্ট করবেন না। অবিলম্বে অ্যান্টিভেনম আছে এমন নিকটস্থ হাসপাতালে নিন।</t>
  </si>
  <si>
    <t xml:space="preserve">E-003</t>
  </si>
  <si>
    <t xml:space="preserve">বুকে তীব্র ব্যথা</t>
  </si>
  <si>
    <t xml:space="preserve">বুকে প্রচণ্ড চাপ বা ব্যথার সঙ্গে ঘাম, শ্বাসকষ্ট বা বাঁ হাতে ব্যথা হলে হার্ট অ্যাটাকের ঝুঁকি থাকে। রোগীকে সম্পূর্ণ বিশ্রামে বসিয়ে বা শুইয়ে রাখুন, হাঁটাচলা করাবেন না এবং দ্রুত জরুরি সেবায় ফোন করে বা গাড়ি করে নিকটস্থ হাসপাতালে নিন।</t>
  </si>
  <si>
    <t xml:space="preserve">E-004</t>
  </si>
  <si>
    <t xml:space="preserve">পানিতে ডুবে যাওয়া</t>
  </si>
  <si>
    <t xml:space="preserve">পানিতে ডুবে যাওয়া শিশুকে দ্রুত তুলে শ্বাস আছে কি না দেখুন। শ্বাস না থাকলে প্রশিক্ষণ থাকলে কৃত্রিম শ্বাস ও সিপিআর দিন এবং কাউকে দিয়ে অ্যাম্বুলেন্স ডাকান। শিশু ভালো দেখালেও পরে ফুসফুসের সমস্যা হতে পারে, তাই অবশ্যই হাসপাতালে দেখান।</t>
  </si>
  <si>
    <t xml:space="preserve">E-005</t>
  </si>
  <si>
    <t xml:space="preserve">বিষ খেলে</t>
  </si>
  <si>
    <t xml:space="preserve">কেউ বিষ খেলে জোর করে বমি করানোর চেষ্টা করবেন না এবং জোর করে কিছু খাওয়াবেন না। কী খেয়েছে তার বোতল বা প্যাকেট সঙ্গে নিয়ে অবিলম্বে হাসপাতালে নিন। রোগী অজ্ঞান হলে কাত করে শুইয়ে রাখুন।</t>
  </si>
  <si>
    <t xml:space="preserve">E-006</t>
  </si>
  <si>
    <t xml:space="preserve">গর্ভাবস্থায় রক্তপাত</t>
  </si>
  <si>
    <t xml:space="preserve">গর্ভবতী নারীর প্রচণ্ড রক্তপাত হলে তা জীবনঝুঁকির লক্ষণ। তাকে শুইয়ে রেখে গরম রাখুন, যোনিপথে কিছু দেবেন না এবং দেরি না করে এখনই অ্যাম্বুলেন্স বা গাড়ি করে হাসপাতালে নিন। যাওয়ার সময় একজন সঙ্গে থাকুন।</t>
  </si>
  <si>
    <t xml:space="preserve">E-007</t>
  </si>
  <si>
    <t xml:space="preserve">জ্বরের সঙ্গে ঘাড় শক্ত</t>
  </si>
  <si>
    <t xml:space="preserve">জ্বরের সঙ্গে ঘাড় শক্ত হয়ে যাওয়া, তীব্র মাথাব্যথা, বমি, আলো সহ্য না হওয়া বা অস্বাভাবিক ঘুম-ঘুম ভাব মেনিনজাইটিসের লক্ষণ হতে পারে। এটি জরুরি অবস্থা, দেরি না করে এখনই হাসপাতালে নিন।</t>
  </si>
  <si>
    <t xml:space="preserve">E-008</t>
  </si>
  <si>
    <t xml:space="preserve">স্ট্রোকের লক্ষণ</t>
  </si>
  <si>
    <t xml:space="preserve">হঠাৎ কথা জড়িয়ে যাওয়া, মুখ বেঁকে যাওয়া বা শরীরের এক পাশ অবশ হলে স্ট্রোকের সন্দেহ করতে হয়। কখন শুরু হয়েছে তা খেয়াল রাখুন, রোগীকে কিছু খাওয়াবেন না এবং বিলম্ব না করে এখনই হাসপাতালে নিন।</t>
  </si>
  <si>
    <t xml:space="preserve">E-009</t>
  </si>
  <si>
    <t xml:space="preserve">শিশুর তীব্র শ্বাসকষ্ট</t>
  </si>
  <si>
    <t xml:space="preserve">শিশুর শ্বাস নিতে খুব কষ্ট, বুক ভেতরে ঢুকে যাওয়া বা ঠোঁট-মুখ নীল হয়ে যাওয়া জীবনঝুঁকির লক্ষণ। শিশুকে কোলে সোজা করে ধরে রাখুন এবং এখনই নিকটস্থ হাসপাতালে নিন।</t>
  </si>
  <si>
    <t xml:space="preserve">E-010</t>
  </si>
  <si>
    <t xml:space="preserve">কেরোসিন বা পেট্রোল খেলে</t>
  </si>
  <si>
    <t xml:space="preserve">শিশু কেরোসিন বা পেট্রোল খেয়ে ফেললে বমি করানোর চেষ্টা করবেন না, কারণ তা ফুসফুসে ঢুকে যেতে পারে। বোতলটি সঙ্গে নিয়ে অবিলম্বে হাসপাতালে নিন।</t>
  </si>
  <si>
    <t xml:space="preserve">E-011</t>
  </si>
  <si>
    <t xml:space="preserve">আগুনে পোড়া</t>
  </si>
  <si>
    <t xml:space="preserve">আগুনে পুড়ে গেলে পোড়া জায়গা দশ থেকে বিশ মিনিট পরিষ্কার ঠান্ডা (বরফ নয়) চলমান পানিতে রাখুন, আংটি ও ঢিলা কাপড় সরান এবং পরিষ্কার কাপড় দিয়ে ঢেকে দিন। টুথপেস্ট, তেল বা মলম লাগাবেন না। অনেকটা জায়গা বা মুখ-হাত-শ্বাসনালি পুড়লে এখনই হাসপাতালে নিন।</t>
  </si>
  <si>
    <t xml:space="preserve">E-012</t>
  </si>
  <si>
    <t xml:space="preserve">কুকুর বা শিয়ালের কামড়</t>
  </si>
  <si>
    <t xml:space="preserve">কুকুর, বিড়াল বা শিয়ালে কামড়ালে ক্ষত সাবান ও চলমান পানিতে পনেরো মিনিট ধুয়ে ফেলুন, ক্ষত বাঁধবেন না বা সেলাই করবেন না। ছোট ক্ষত হলেও দ্রুত জলাতঙ্ক প্রতিরোধের টিকা নিতে হাসপাতালে যান।</t>
  </si>
  <si>
    <t xml:space="preserve">E-013</t>
  </si>
  <si>
    <t xml:space="preserve">জ্বরের সঙ্গে লাল দাগ ও বমি</t>
  </si>
  <si>
    <t xml:space="preserve">খুব বেশি জ্বরের সঙ্গে শরীরে লাল দাগ, বারবার বমি, পেটে ব্যথা বা রক্তক্ষরণ হলে তা ডেঙ্গুসহ গুরুতর রোগের লক্ষণ হতে পারে। দেরি না করে এখনই হাসপাতালে যান এবং ডাক্তারের পরামর্শ ছাড়া কোনো ব্যথানাশক ওষুধ খাবেন না।</t>
  </si>
  <si>
    <t xml:space="preserve">E-014</t>
  </si>
  <si>
    <t xml:space="preserve">অজ্ঞান হয়ে গেলে</t>
  </si>
  <si>
    <t xml:space="preserve">কেউ অজ্ঞান হয়ে গেলে ডেকে সাড়া মিলছে কি না ও শ্বাস চলছে কি না দেখুন। শ্বাস থাকলে কাত করে শুইয়ে রাখুন, মুখে পানি বা খাবার দেবেন না এবং কাউকে সাহায্যের জন্য ডেকে এখনই হাসপাতালে নিন; শ্বাস না থাকলে জরুরি সেবা ডাকুন।</t>
  </si>
  <si>
    <t xml:space="preserve">E-015</t>
  </si>
  <si>
    <t xml:space="preserve">প্রসবের পর রক্তক্ষরণ</t>
  </si>
  <si>
    <t xml:space="preserve">সন্তান প্রসবের পর অনেক রক্ত যেতে থাকলে তা প্রসবোত্তর রক্তক্ষরণ, যা জীবনঝুঁকির জরুরি অবস্থা। মাকে শুইয়ে গরম রাখুন এবং দেরি না করে এখনই অ্যাম্বুলেন্স বা গাড়িতে হাসপাতালে নিন।</t>
  </si>
  <si>
    <t xml:space="preserve">E-016</t>
  </si>
  <si>
    <t xml:space="preserve">জরুরি সেবা</t>
  </si>
  <si>
    <t xml:space="preserve">জীবনঝুঁকির জরুরি অবস্থায় জাতীয় জরুরি সেবা ৯৯৯ নম্বরে ফোন করা যায়। এ ছাড়া নিকটস্থ উপজেলা স্বাস্থ্য কমপ্লেক্স বা হাসপাতালে দ্রুত যোগাযোগ করুন।</t>
  </si>
  <si>
    <t xml:space="preserve">K-001</t>
  </si>
  <si>
    <t xml:space="preserve">krishi</t>
  </si>
  <si>
    <t xml:space="preserve">ধানের চারা রোপণের মৌসুম</t>
  </si>
  <si>
    <t xml:space="preserve">আমন ধানের চারা সাধারণত আষাঢ়-শ্রাবণে (জুলাই-আগস্ট) পঁচিশ থেকে ত্রিশ দিনের হলে রোপণ করা হয়। বোরো ধানের বীজতলা পৌষে করা হয় এবং শীতে চারা ধীরে বাড়ে বলে পয়ত্রিশ থেকে পঁয়তাল্লিশ দিনের চারা পৌষ-মাঘে রোপণ করা হয়। জাতভেদে সময় বদলাতে পারে।</t>
  </si>
  <si>
    <t xml:space="preserve">কৃষি সম্প্রসারণ অধিদপ্তর / ব্রি / বারি</t>
  </si>
  <si>
    <t xml:space="preserve">K-002</t>
  </si>
  <si>
    <t xml:space="preserve">ধানে ইউরিয়া সার প্রয়োগ</t>
  </si>
  <si>
    <t xml:space="preserve">ইউরিয়া সার একবারে না দিয়ে তিন ভাগে ভাগ করে উপরি প্রয়োগ করলে ধানে ভালো ফল পাওয়া যায়। সাধারণত রোপণের পনেরো থেকে বিশ দিন পর, ত্রিশ থেকে পয়ত্রিশ দিনে এবং থোড় আসার পাঁচ থেকে সাত দিন আগে সার দেওয়া হয়। জমিতে পানি জমে থাকলে বা ভারী বৃষ্টির আগে সার দেবেন না।</t>
  </si>
  <si>
    <t xml:space="preserve">K-003</t>
  </si>
  <si>
    <t xml:space="preserve">ধানের পাতার দাগ</t>
  </si>
  <si>
    <t xml:space="preserve">ধানের পাতায় ডিম্বাকৃতি বাদামি দাগ ব্রাউন স্পট রোগের লক্ষণ হতে পারে, আর মাঝখানে ধূসর ও দুই প্রান্ত সরু দাগ ব্লাস্ট রোগের লক্ষণ। সুষম সার, বিশেষ করে পটাশ দেওয়া, রোগমুক্ত বীজ ব্যবহার ও জমি পরিষ্কার রাখা সহায়ক। ছত্রাকনাশক লাগলে উপজেলা কৃষি অফিসারের পরামর্শ নিন।</t>
  </si>
  <si>
    <t xml:space="preserve">K-004</t>
  </si>
  <si>
    <t xml:space="preserve">সবজির বীজ সংরক্ষণ</t>
  </si>
  <si>
    <t xml:space="preserve">সবজির বীজ ভালোভাবে শুকিয়ে ছায়ায় ঠান্ডা করে বায়ুরোধী কৌটা বা বোতলে ভরে ঠান্ডা, শুকনো জায়গায় রাখতে হয়। ভেতরে শুকনো ছাই বা নিমপাতা দিলে পোকা কম লাগে। বীজে আর্দ্রতা ঢুকলে অঙ্কুরোদগম ক্ষমতা কমে যায়, তাই কৌটার মুখ শক্ত করে লাগান ও লেবেল দিন।</t>
  </si>
  <si>
    <t xml:space="preserve">K-005</t>
  </si>
  <si>
    <t xml:space="preserve">মাটির স্বাস্থ্য রক্ষা</t>
  </si>
  <si>
    <t xml:space="preserve">মাটির স্বাস্থ্য ভালো রাখতে জৈব সার (গোবর, কম্পোস্ট) দেওয়া, শস্য পর্যায় মেনে ডাল জাতীয় ফসল আবাদ করা এবং শুধু ইউরিয়ায় নির্ভর না করে সুষম সার ব্যবহার করা উচিত। সার দেওয়ার আগে মাটি পরীক্ষা করালে কোন পুষ্টি কম তা জানা যায়।</t>
  </si>
  <si>
    <t xml:space="preserve">K-006</t>
  </si>
  <si>
    <t xml:space="preserve">সবজি খেতে জলাবদ্ধতা</t>
  </si>
  <si>
    <t xml:space="preserve">সবজি খেতে পানি জমলে দ্রুত নালা কেটে পানি বের করুন এবং ভবিষ্যতের জন্য উঁচু বেড ও নিষ্কাশন নালা রাখুন। পানি নামার পর মাটি একটু শুকাতে দিয়ে গাছের গোড়ায় মাটি তুলে দিন, রোগাক্রান্ত গাছ তুলে ফেলুন এবং প্রয়োজনে কৃষি অফিসারের পরামর্শে ছত্রাকনাশক ব্যবহার করুন।</t>
  </si>
  <si>
    <t xml:space="preserve">K-007</t>
  </si>
  <si>
    <t xml:space="preserve">কম্পোস্ট সার তৈরি</t>
  </si>
  <si>
    <t xml:space="preserve">গোবর, গাছের পাতা, খড় ও রান্নাঘরের বর্জ্য স্তরে স্তরে সাজিয়ে গর্তে বা স্তূপে রেখে কম্পোস্ট সার বানানো যায়। স্তূপ ভেজা রাখুন, ঢেকে দিন এবং কয়েক সপ্তাহ পরপর উল্টে দিন; দুই থেকে তিন মাসে সার তৈরি হয়। কেঁচো সার বানাতে কেঁচো ব্যবহার করা হয়।</t>
  </si>
  <si>
    <t xml:space="preserve">K-008</t>
  </si>
  <si>
    <t xml:space="preserve">গম বোনার সময়</t>
  </si>
  <si>
    <t xml:space="preserve">গম সাধারণত অগ্রহায়ণের প্রথম থেকে তৃতীয় সপ্তাহে (মোটামুটি পনেরো থেকে ত্রিশ নভেম্বর) বোনা ভালো। দেরিতে বুনলে ফলন কমে যায়। বীজ বোনার আগে জমি ভালো করে তৈরি করে সুস্থ বীজ ব্যবহার করুন।</t>
  </si>
  <si>
    <t xml:space="preserve">K-009</t>
  </si>
  <si>
    <t xml:space="preserve">পাট পচানো</t>
  </si>
  <si>
    <t xml:space="preserve">পাট একশ থেকে একশ বিশ দিনে কেটে আঁটি বেঁধে দুই-তিন দিন পাতা ঝরিয়ে পরিষ্কার ধীর স্রোতের বা জমা পানিতে ডুবিয়ে পচাতে হয়। ডোবানোর পর আঁশ সহজে ছাড়লে (সাধারণত দশ থেকে বিশ দিনে) তুলে আঁশ ছাড়িয়ে পরিষ্কার পানিতে ধুয়ে রোদে শুকাতে হয়। বেশি পচালে আঁশের মান নষ্ট হয়।</t>
  </si>
  <si>
    <t xml:space="preserve">K-010</t>
  </si>
  <si>
    <t xml:space="preserve">আলুর লেট ব্লাইট</t>
  </si>
  <si>
    <t xml:space="preserve">আলুর লেট ব্লাইটে ঠান্ডা, কুয়াশা-মেঘলা ও আর্দ্র আবহাওয়ায় পাতায় পানিভেজা কালচে দাগ হয়, পাতার নিচে সাদা ছাতা পড়ে এবং খুব দ্রুত ছড়িয়ে পুরো খেত ঝলসে যেতে পারে। সুস্থ বীজ, রোগ সহনশীল জাত ও খেত পরিষ্কার রাখা সহায়ক। ছত্রাকনাশক কৃষি অফিসারের পরামর্শে দিন।</t>
  </si>
  <si>
    <t xml:space="preserve">K-011</t>
  </si>
  <si>
    <t xml:space="preserve">ধানের মাজরা পোকা</t>
  </si>
  <si>
    <t xml:space="preserve">মাজরা পোকার আক্রমণে ধানের কুশি অবস্থায় ডিগ পাতা শুকিয়ে যায় (মরা ডিগ) এবং থোড় অবস্থায় শীষ সাদা হয়ে যায় (সাদা শীষ)। ডিমের গাদা সংগ্রহ করে নষ্ট করা, আলোর ফাঁদ, জমিতে ডাল পুঁতে পাখি বসার ব্যবস্থা ও পরিমিত ইউরিয়া সহায়ক। কীটনাশক লাগলে কৃষি অফিসারের পরামর্শ নিন।</t>
  </si>
  <si>
    <t xml:space="preserve">K-012</t>
  </si>
  <si>
    <t xml:space="preserve">বীজতলায় হলুদ চারা</t>
  </si>
  <si>
    <t xml:space="preserve">বীজতলায় চারা হলুদ হলে কারণ হতে পারে নাইট্রোজেনের অভাব, অতিরিক্ত ঠান্ডা, পানি জমে থাকা বা জিংকের অভাব। জমে থাকা পানি বের করুন, প্রয়োজনে কৃষি অফিসারের পরামর্শে অল্প ইউরিয়া বা জিংক দিন। দাগযুক্ত বা মরচে রঙের চারা দেখলে রোগ বা পুষ্টির অভাব কি না তা দেখে নিন।</t>
  </si>
  <si>
    <t xml:space="preserve">K-013</t>
  </si>
  <si>
    <t xml:space="preserve">ধান শুকানো ও সংরক্ষণ</t>
  </si>
  <si>
    <t xml:space="preserve">ধান কাটার পর পরিষ্কার পাকা উঠানে বা ত্রিপলে পাতলা করে বিছিয়ে রোদে শুকাতে হয় এবং মাঝেমধ্যে উল্টে দিতে হয়, যাতে দানা বারো থেকে চৌদ্দ শতাংশ আর্দ্রতায় আসে। সংরক্ষণে শুকনো, ইঁদুরমুক্ত, বায়ুরোধী পাত্র বা ডোলে মাটি থেকে উঁচুতে রাখুন।</t>
  </si>
  <si>
    <t xml:space="preserve">K-014</t>
  </si>
  <si>
    <t xml:space="preserve">ধানের জমিতে আগাছা দমন</t>
  </si>
  <si>
    <t xml:space="preserve">ধানের জমিতে রোপণের পনেরো থেকে বিশ দিন ও পয়ত্রিশ থেকে চল্লিশ দিন পর আগাছা পরিষ্কার করলে ভালো ফল পাওয়া যায়। হাত দিয়ে, নিড়ানি বা রোটারি উইডার দিয়ে আগাছা তোলা যায় এবং জমিতে পরিমিত পানি রাখলে আগাছা কম হয়।</t>
  </si>
  <si>
    <t xml:space="preserve">K-015</t>
  </si>
  <si>
    <t xml:space="preserve">শীতকালীন সবজির সময়</t>
  </si>
  <si>
    <t xml:space="preserve">শীতকালীন সবজির মধ্যে ফুলকপি, বাঁধাকপি ও টমেটোর চারা সাধারণত আশ্বিন-কার্তিকে (অক্টোবর) বীজতলায় তৈরি হয় এবং কার্তিক-অগ্রহায়ণে খেতে লাগানো হয়। মুলা, পালংশাক ও লালশাক কার্তিক থেকে পৌষ পর্যন্ত বোনা যায়। জাতভেদে সময় একটু বদলাতে পারে।</t>
  </si>
  <si>
    <t xml:space="preserve">K-016</t>
  </si>
  <si>
    <t xml:space="preserve">সবজিতে জৈব উপায়ে পোকা দমন</t>
  </si>
  <si>
    <t xml:space="preserve">সবজিতে পোকা দমনে হাত দিয়ে পোকা ও ডিম তোলা, আক্রান্ত ডগা কেটে ফেলা, ফেরোমন ও হলুদ আঠালো ফাঁদ ব্যবহার, খেতে পাখি বসার ডাল পোঁতা এবং নিমের নির্যাস স্প্রে করা কার্যকর। একই জমিতে বারবার একই ফসল না করে ফসল ঘুরিয়ে চাষ করুন।</t>
  </si>
  <si>
    <t xml:space="preserve">K-017</t>
  </si>
  <si>
    <t xml:space="preserve">আমগাছে মুকুলের যত্ন</t>
  </si>
  <si>
    <t xml:space="preserve">আমগাছে মুকুলের সময় অকারণে সেচ বা কীটনাশক স্প্রে করলে ফুল ঝরে যেতে পারে। হপার পোকা ও অ্যানথ্রাকনোজ রোগের লক্ষণ দেখলে কৃষি অফিসারের পরামর্শ নিয়ে সঠিক ওষুধ ঠিক সময়ে দিন। গাছের নিচে আগাছা ও ঝরা পাতা পরিষ্কার রাখুন।</t>
  </si>
  <si>
    <t xml:space="preserve">K-018</t>
  </si>
  <si>
    <t xml:space="preserve">পুকুরে চুন প্রয়োগ</t>
  </si>
  <si>
    <t xml:space="preserve">মাছ চাষের পুকুরে চুন সাধারণত পুকুর প্রস্তুতির সময় মাছ ছাড়ার পাঁচ থেকে সাত দিন আগে দেওয়া হয় এবং পানি অম্লীয় বা ঘোলা হলে মৎস্য কর্মকর্তার পরামর্শে পরে আবার দেওয়া যায়। চুন পানিতে গুলে পুকুরে ছিটিয়ে দিতে হয়।</t>
  </si>
  <si>
    <t xml:space="preserve">প্রাণিসম্পদ অধিদপ্তর / মৎস্য অধিদপ্তর</t>
  </si>
  <si>
    <t xml:space="preserve">K-019</t>
  </si>
  <si>
    <t xml:space="preserve">পুকুরে মাছ মরে ভেসে উঠলে</t>
  </si>
  <si>
    <t xml:space="preserve">পুকুরে মাছ মরে ভেসে উঠলে সঙ্গে সঙ্গে খাবার ও সার দেওয়া বন্ধ করুন, মরা মাছ তুলে মাটিতে পুঁতে ফেলুন এবং পানিতে বাতাস বা অক্সিজেনের ব্যবস্থা করুন। কারণ জানতে ও চিকিৎসার জন্য উপজেলা মৎস্য কর্মকর্তাকে জানান।</t>
  </si>
  <si>
    <t xml:space="preserve">K-020</t>
  </si>
  <si>
    <t xml:space="preserve">পুকুরে অক্সিজেন কম</t>
  </si>
  <si>
    <t xml:space="preserve">ভোরে মাছ পানির উপরে ভেসে নিশ্বাস নিলে পুকুরে অক্সিজেন কম থাকার লক্ষণ। খাবার দেওয়া বন্ধ করুন, পানি পিটিয়ে বা পাম্প দিয়ে বাতাস মেশান এবং সম্ভব হলে কিছু পরিষ্কার পানি দিন। বেশি খাবার ও সার দিলে এই সমস্যা বাড়ে।</t>
  </si>
  <si>
    <t xml:space="preserve">K-021</t>
  </si>
  <si>
    <t xml:space="preserve">কচুরিপানা দমন</t>
  </si>
  <si>
    <t xml:space="preserve">কচুরিপানা হাত দিয়ে বা জাল টেনে তুলে ফেলাই সবচেয়ে নিরাপদ উপায়, এবং তা পানি থেকে দূরে শুকিয়ে কম্পোস্টে ব্যবহার করা যায়। বাঁশ দিয়ে ঘিরে ছড়ানো ঠেকানো যায়। পুকুরে রাসায়নিক ব্যবহারের আগে মৎস্য কর্মকর্তার পরামর্শ নিন।</t>
  </si>
  <si>
    <t xml:space="preserve">K-022</t>
  </si>
  <si>
    <t xml:space="preserve">গাভীর দুধ বাড়ানোর খাবার</t>
  </si>
  <si>
    <t xml:space="preserve">গরুর দুধ বাড়াতে সবুজ ঘাস, খড়ের সঙ্গে সুষম দানাদার খাবার (খৈল, ভুসি, ভুট্টা ভাঙা) ও পর্যাপ্ত বিশুদ্ধ পানি দিন। হঠাৎ খাবার বদলাবেন না এবং নিয়মিত সময়ে দুধ দোহান ও গোয়াল পরিষ্কার রাখুন। খনিজ মিশ্রণ প্রাণিসম্পদ অফিসের পরামর্শে দিন।</t>
  </si>
  <si>
    <t xml:space="preserve">K-023</t>
  </si>
  <si>
    <t xml:space="preserve">বর্ষায় গবাদিপশুর খাবার</t>
  </si>
  <si>
    <t xml:space="preserve">বর্ষায় গবাদিপশুকে ভেজা বা ছাতা পড়া খড়-দানা খাওয়ানো যাবে না, বন্যার পানিতে ডোবা ঘাস এড়ান এবং আগেই শুকনো খড় ও খাবার মজুত করুন। বিশুদ্ধ পানি দিন এবং বর্ষার আগে প্রাণিসম্পদ অফিসের নির্দেশনা মতো টিকা ও কৃমিনাশক দিন।</t>
  </si>
  <si>
    <t xml:space="preserve">K-024</t>
  </si>
  <si>
    <t xml:space="preserve">ছাগলের পিপিআর রোগ</t>
  </si>
  <si>
    <t xml:space="preserve">ছাগলের পিপিআর রোগে জ্বর, নাক-চোখ দিয়ে পানি, মুখে ঘা, ডায়রিয়া ও নিউমোনিয়া হয় এবং অনেক ছাগল মারা যেতে পারে। অসুস্থ ছাগল আলাদা করে রাখুন, প্রাণিসম্পদ অফিসকে খবর দিন এবং সুস্থ ছাগলকে পিপিআর টিকা দেওয়ান।</t>
  </si>
  <si>
    <t xml:space="preserve">K-025</t>
  </si>
  <si>
    <t xml:space="preserve">হাঁস-মুরগির টিকা</t>
  </si>
  <si>
    <t xml:space="preserve">হাঁস-মুরগিকে রানীক্ষেত, গামবোরো ও বসন্তের মতো রোগের টিকা প্রাণিসম্পদ অফিসের টিকাদান সূচি অনুযায়ী নির্দিষ্ট বয়সে দিতে হয় এবং তা বাচ্চা ফোটার প্রথম সপ্তাহ থেকেই শুরু হয়। হাঁসের জন্য ডাক প্লেগ ও ডাক কলেরার টিকা আলাদা। সময়সূচি স্থানীয় ভেটেরিনারি কর্মীর কাছ থেকে নিন।</t>
  </si>
  <si>
    <t xml:space="preserve">K-026</t>
  </si>
  <si>
    <t xml:space="preserve">সরিষা বোনা</t>
  </si>
  <si>
    <t xml:space="preserve">সরিষা সাধারণত কার্তিকের মাঝামাঝি থেকে অগ্রহায়ণের প্রথম সপ্তাহে (নভেম্বরের শুরু) বোনা হয়। বীজ ছিটিয়ে বা সারিতে বুনে হালকা মাটি ঢেকে দিতে হয়। পোকা দেখা গেলে কৃষি অফিসে যোগাযোগ করুন।</t>
  </si>
  <si>
    <t xml:space="preserve">K-027</t>
  </si>
  <si>
    <t xml:space="preserve">মসুর ডাল চাষ</t>
  </si>
  <si>
    <t xml:space="preserve">মসুর ডাল কার্তিকের শেষ থেকে অগ্রহায়ণের মাঝামাঝি বোনা হয়। এ ফসলে সেচ কম লাগে, তবে জমিতে পানি জমলে ক্ষতি হয়।</t>
  </si>
  <si>
    <t xml:space="preserve">K-028</t>
  </si>
  <si>
    <t xml:space="preserve">টমেটো গাছে খুঁটি</t>
  </si>
  <si>
    <t xml:space="preserve">টমেটো গাছ বড় হলে খুঁটি দিয়ে বেঁধে দিতে হয় যাতে ফল মাটি না ছোঁয়। নিচের হলুদ ও রোগাক্রান্ত পাতা ছেঁটে ফেলুন এবং নিয়মিত হালকা সেচ দিন।</t>
  </si>
  <si>
    <t xml:space="preserve">K-029</t>
  </si>
  <si>
    <t xml:space="preserve">কলাগাছের যত্ন</t>
  </si>
  <si>
    <t xml:space="preserve">কলার চারা লাগানোর পর গোড়ায় আগাছা পরিষ্কার রাখুন, গাছ বাড়লে পাশের অতিরিক্ত চারা (পুত্রি) সরিয়ে দিন এবং ঝড়ের আগে খুঁটি দিয়ে গাছ বেঁধে দিন।</t>
  </si>
  <si>
    <t xml:space="preserve">K-030</t>
  </si>
  <si>
    <t xml:space="preserve">ছাগলের ঘর</t>
  </si>
  <si>
    <t xml:space="preserve">ছাগলের ঘর মাটি থেকে উঁচু মাচায় তৈরি করলে ঘর শুকনো থাকে ও রোগ কম হয়। ঘরে আলো-বাতাস চলাচল রাখুন এবং মেঝে প্রতিদিন পরিষ্কার করুন।</t>
  </si>
  <si>
    <t xml:space="preserve">K-031</t>
  </si>
  <si>
    <t xml:space="preserve">হাঁসের বাচ্চা পালন</t>
  </si>
  <si>
    <t xml:space="preserve">হাঁসের বাচ্চাদের প্রথম কয়েক সপ্তাহ উষ্ণ ও শুকনো জায়গায় রাখুন, পরিষ্কার পানি ও সুষম খাবার দিন। জলাশয়ে ছাড়ার আগে বাচ্চাদের পালক পুরোপুরি গজানো দরকার।</t>
  </si>
  <si>
    <t xml:space="preserve">K-032</t>
  </si>
  <si>
    <t xml:space="preserve">গরুর খুরা রোগ</t>
  </si>
  <si>
    <t xml:space="preserve">গরুর খুরা রোগে মুখে ও পায়ের ফাঁকে ঘা, লালা পড়া ও জ্বর হয়। আক্রান্ত পশু আলাদা রাখুন, গোয়াল পরিষ্কার রাখুন ও প্রাণিসম্পদ অফিসকে জানান।</t>
  </si>
  <si>
    <t xml:space="preserve">K-033</t>
  </si>
  <si>
    <t xml:space="preserve">বেগুনের ডগা ও ফল ছিদ্রকারী পোকা</t>
  </si>
  <si>
    <t xml:space="preserve">বেগুনের ডগা ও ফল ছিদ্রকারী পোকার আক্রান্ত ডগা ও ফল তুলে নষ্ট করুন এবং ফেরোমন ফাঁদ ব্যবহার করুন। রোগমুক্ত চারা লাগান।</t>
  </si>
  <si>
    <t xml:space="preserve">K-034</t>
  </si>
  <si>
    <t xml:space="preserve">পেঁয়াজ লাগানো</t>
  </si>
  <si>
    <t xml:space="preserve">পেঁয়াজের চারা বা বাল্ব কার্তিক-অগ্রহায়ণে লাগানো হয়। জমিতে পানি জমতে দেবেন না এবং আলো-বাতাস পেতে সারির মধ্যে দূরত্ব রাখুন।</t>
  </si>
  <si>
    <t xml:space="preserve">K-035</t>
  </si>
  <si>
    <t xml:space="preserve">পুকুরে মিশ্র মাছ চাষ</t>
  </si>
  <si>
    <t xml:space="preserve">পুকুরে রুই, কাতলা, মৃগেল ও সিলভার কার্প মিলিয়ে মিশ্র চাষ করলে বিভিন্ন স্তরের খাবার কাজে লাগে। মাছ ছাড়ার আগে পুকুর প্রস্তুত করুন এবং সুস্থ পোনা ব্যবহার করুন।</t>
  </si>
  <si>
    <t xml:space="preserve">W-001</t>
  </si>
  <si>
    <t xml:space="preserve">abohawa</t>
  </si>
  <si>
    <t xml:space="preserve">গরমে কৃষকের সুস্থ থাকা</t>
  </si>
  <si>
    <t xml:space="preserve">অতিরিক্ত গরমে কৃষক সকাল ও বিকেলে কাজ করুন, দুপুরে রোদে কাজ এড়ান, প্রতি ঘণ্টায় ছায়ায় বিশ্রাম নিন এবং তৃষ্ণা না পেলেও ঘনঘন পানি, খাবার স্যালাইন বা লেবু-লবণ-চিনির শরবত খান। হালকা সুতির কাপড়, গামছা বা টুপি পরুন। মাথা ঘোরা, বমি বা খুব দুর্বল লাগলে কাজ বন্ধ করে ছায়ায় যান।</t>
  </si>
  <si>
    <t xml:space="preserve">দুর্যোগ ব্যবস্থাপনা অধিদপ্তর / আবহাওয়া অধিদপ্তর</t>
  </si>
  <si>
    <t xml:space="preserve">W-002</t>
  </si>
  <si>
    <t xml:space="preserve">নদীভাঙনের আগাম লক্ষণ</t>
  </si>
  <si>
    <t xml:space="preserve">নদীভাঙনের আগাম লক্ষণ হলো পাড়ে ফাটল বা ধস, পাড় থেকে মাটি খসে পড়া, নদীর স্রোত পাড়ের দিকে ঘুরে আসা, পাড়ের গাছ হেলে পড়া ও পাড় ঘেঁষে হঠাৎ গভীরতা বাড়া। এমন লক্ষণ দেখলে ঘরের জিনিসপত্র ও গবাদিপশু নিরাপদ স্থানে সরান এবং ইউনিয়ন পরিষদকে জানান।</t>
  </si>
  <si>
    <t xml:space="preserve">W-003</t>
  </si>
  <si>
    <t xml:space="preserve">শৈত্যপ্রবাহে শিশু ও বৃদ্ধ</t>
  </si>
  <si>
    <t xml:space="preserve">শৈত্যপ্রবাহে শিশু ও বৃদ্ধদের মাথা, কান ও পা ঢেকে কয়েক স্তরে গরম কাপড় পরান, ঘর শুকনো ও বাতাসমুক্ত রাখুন এবং গরম খাবার-পানীয় দিন। নবজাতককে মায়ের শরীরের সঙ্গে লাগিয়ে রাখুন। বদ্ধ ঘরে কয়লা বা কাঠ জ্বালিয়ে ঘুমাবেন না, এতে বিষাক্ত গ্যাসে বিপদ হয়।</t>
  </si>
  <si>
    <t xml:space="preserve">W-004</t>
  </si>
  <si>
    <t xml:space="preserve">ঘূর্ণিঝড়ে আশ্রয়কেন্দ্রে যা নেবেন</t>
  </si>
  <si>
    <t xml:space="preserve">ঘূর্ণিঝড়ের সংকেত পেলে আশ্রয়কেন্দ্রে যাওয়ার সময় শুকনো খাবার (মুড়ি, চিড়া, গুড়), বিশুদ্ধ পানি, খাবার স্যালাইন, প্রয়োজনীয় ওষুধ, টর্চ, রেডিও, চার্জ দেওয়া মোবাইল, জরুরি কাগজপত্র, টাকা ও গরম কাপড় নিন। শিশু, বৃদ্ধ ও গর্ভবতীদের আগে নিন এবং সম্ভব হলে গবাদিপশু নিরাপদ জায়গায় বেঁধে যান।</t>
  </si>
  <si>
    <t xml:space="preserve">W-005</t>
  </si>
  <si>
    <t xml:space="preserve">বৃষ্টির পানি সংরক্ষণ</t>
  </si>
  <si>
    <t xml:space="preserve">ছাদের টিন বা পাকা ছাদ থেকে পাইপে বৃষ্টির পানি ঢাকনাওয়ালা ট্যাংক বা জালায় ধরে রাখা যায়। প্রথম বৃষ্টির ময়লা পানি ফেলে দিন এবং পাত্র ঢেকে রাখুন। এই পানি গোসল-ধোয়া ও সেচে ব্যবহার করা যায়; খাওয়ার আগে অবশ্যই ফুটিয়ে বা ছেঁকে নিন।</t>
  </si>
  <si>
    <t xml:space="preserve">W-006</t>
  </si>
  <si>
    <t xml:space="preserve">কুয়াশায় নৌযান চলাচল</t>
  </si>
  <si>
    <t xml:space="preserve">ঘন কুয়াশায় নৌকা, লঞ্চ বা ট্রলারে যাত্রা না করাই নিরাপদ। যেতেই হলে গতি কমান, আলো ও হর্ন ব্যবহার করুন, লাইফ জ্যাকেট পরুন এবং নদীর কিনারা ঘেঁষে ধীরে চলুন। কর্তৃপক্ষের সতর্কতা শুনুন ও মেনে চলুন।</t>
  </si>
  <si>
    <t xml:space="preserve">W-007</t>
  </si>
  <si>
    <t xml:space="preserve">ঝড়ের সময় ঘরে নিরাপদ জায়গা</t>
  </si>
  <si>
    <t xml:space="preserve">ঝড়ের সময় ঘরের সবচেয়ে মজবুত অংশে জানালা ও দরজা থেকে দূরে থাকুন, টিনের চালার নিচে ও বড় গাছ বা বিদ্যুতের খুঁটির কাছে যাবেন না। বিদ্যুৎ ও গ্যাসের সংযোগ বন্ধ রাখুন এবং শিশুদের কাছে রাখুন।</t>
  </si>
  <si>
    <t xml:space="preserve">W-008</t>
  </si>
  <si>
    <t xml:space="preserve">বন্যায় বিশুদ্ধ পানি</t>
  </si>
  <si>
    <t xml:space="preserve">বন্যার পানিতে ডোবা নলকূপের পানি দূষিত থাকতে পারে, তাই ব্যবহারের আগে নলকূপ পরিষ্কার করে ক্লোরিন বা পানি বিশুদ্ধকরণ ট্যাবলেট দিন। সম্ভব হলে নিরাপদ উঁচু নলকূপের পানি নিন এবং খাওয়ার আগে ভালো করে ফুটিয়ে নিন। স্বাস্থ্যকর্মীর কাছে বিশুদ্ধকরণ ট্যাবলেট পাওয়া যায়।</t>
  </si>
  <si>
    <t xml:space="preserve">W-009</t>
  </si>
  <si>
    <t xml:space="preserve">বজ্রপাতের সময় করণীয়</t>
  </si>
  <si>
    <t xml:space="preserve">বজ্রপাতের সময় খোলা মাঠ, উঁচু গাছ, পুকুর বা নদীর পাড় থেকে দ্রুত দূরে গিয়ে পাকা দালানে আশ্রয় নিন। কোনো আশ্রয় না থাকলে পায়ের পাতার ওপর নিচু হয়ে বসে পা একসঙ্গে রাখুন ও কানে হাত চাপা দিন, মাটিতে শুয়ে পড়বেন না। বজ্রের শেষ আওয়াজের ত্রিশ মিনিট পর বাইরে যান।</t>
  </si>
  <si>
    <t xml:space="preserve">W-010</t>
  </si>
  <si>
    <t xml:space="preserve">হিটস্ট্রোকের প্রাথমিক চিকিৎসা</t>
  </si>
  <si>
    <t xml:space="preserve">হিটস্ট্রোক হলে রোগীকে দ্রুত ছায়া ও ঠান্ডা জায়গায় নিন, গায়ের কাপড় ঢিলা করুন, ভেজা কাপড়ে শরীর মুছুন ও বাতাস করুন। জ্ঞান থাকলে অল্প অল্প পানি বা স্যালাইন দিন; অজ্ঞান বা বিভ্রান্ত হলে মুখে কিছু না দিয়ে দ্রুত হাসপাতালে নিন।</t>
  </si>
  <si>
    <t xml:space="preserve">W-011</t>
  </si>
  <si>
    <t xml:space="preserve">জমিতে লবণাক্ত পানি</t>
  </si>
  <si>
    <t xml:space="preserve">জমিতে লবণাক্ত পানি ঢুকলে সম্ভব হলে মিঠা পানি দিয়ে জমি ধুয়ে নিষ্কাশন করুন, মালচিং করে মাটির আর্দ্রতা ধরে রাখুন এবং জৈব সার দিন। লবণ সহনশীল জাতের ফসল চাষ করা ভালো; জাত ও পদ্ধতির জন্য কৃষি অফিস বা ব্রি-র পরামর্শ নিন।</t>
  </si>
  <si>
    <t xml:space="preserve">W-012</t>
  </si>
  <si>
    <t xml:space="preserve">শীতে শিশুর নিউমোনিয়া প্রতিরোধ</t>
  </si>
  <si>
    <t xml:space="preserve">শীতে শিশুকে নিউমোনিয়া থেকে বাঁচাতে মাথা ও পা ঢেকে গরম রাখুন, বুকের দুধ চালিয়ে যান, রান্নার ধোঁয়া থেকে দূরে রাখুন এবং নির্ধারিত টিকা সময়মতো দিন। দ্রুত শ্বাস, বুক ভেতরে ঢুকে যাওয়া বা খেতে না পারলে এখনই হাসপাতালে নিন।</t>
  </si>
  <si>
    <t xml:space="preserve">W-013</t>
  </si>
  <si>
    <t xml:space="preserve">ছিঁড়ে পড়া বিদ্যুতের তার</t>
  </si>
  <si>
    <t xml:space="preserve">ঝড়ে ছিঁড়ে পড়া বিদ্যুতের তার সবসময় বিপজ্জনক মনে করে অন্তত কয়েক মিটার দূরে থাকুন, ভেজা অবস্থায় ধরবেন না এবং শিশুদের কাছে যেতে দেবেন না। কাউকে পাহারায় রেখে দ্রুত বিদ্যুৎ অফিসকে জানান। ভাঙা গাছের নিচে কেউ চাপা পড়লে একা উদ্ধারের চেষ্টা না করে সাহায্য ডাকুন।</t>
  </si>
  <si>
    <t xml:space="preserve">W-014</t>
  </si>
  <si>
    <t xml:space="preserve">খরায় কম পানিতে চাষ</t>
  </si>
  <si>
    <t xml:space="preserve">খরায় কম পানিতে ধান চাষে একবার সেচ দিয়ে শুকিয়ে আবার সেচ দেওয়ার পদ্ধতি (পর্যায়ক্রমে ভেজানো ও শুকানো) পানি বাঁচায়। খরা সহনশীল ও স্বল্প মেয়াদি জাত, মালচিং, জৈব সার এবং গম-ডাল-ভুট্টার মতো কম পানির ফসল বেছে নিন।</t>
  </si>
  <si>
    <t xml:space="preserve">W-015</t>
  </si>
  <si>
    <t xml:space="preserve">গরমে গবাদিপশুর যত্ন</t>
  </si>
  <si>
    <t xml:space="preserve">গরমে গবাদিপশুকে ছায়াযুক্ত ও বাতাস চলাচলের জায়গায় রাখুন, দিনে কয়েকবার ঠান্ডা পানি ছিটিয়ে দিন এবং পর্যাপ্ত বিশুদ্ধ পানি দিন। দুপুরে চরানো বন্ধ রাখুন, সকাল-বিকেলে খাবার দিন এবং মহিষকে ডোবায় নামার সুযোগ দিন।</t>
  </si>
  <si>
    <t xml:space="preserve">W-016</t>
  </si>
  <si>
    <t xml:space="preserve">কালবৈশাখীর আগে প্রস্তুতি</t>
  </si>
  <si>
    <t xml:space="preserve">কালবৈশাখীর আগে ঘরের চাল ও বেড়া মজবুত করুন, ডালপালা ছেঁটে ফেলুন, পাকা ফসল দ্রুত কেটে নিন এবং গবাদিপশু নিরাপদে বাঁধুন। আকাশ কালো হলে মাঠ, খোলা নৌকা ও গাছের নিচ থেকে সরে যান এবং মোবাইল চার্জ রাখুন।</t>
  </si>
  <si>
    <t xml:space="preserve">W-017</t>
  </si>
  <si>
    <t xml:space="preserve">জলোচ্ছ্বাসের সতর্কতা</t>
  </si>
  <si>
    <t xml:space="preserve">জলোচ্ছ্বাসের সংকেত পেলে দেরি না করে আশ্রয়কেন্দ্র বা উঁচু পাকা ভবনে চলে যান এবং পরে সময় পাবেন ভেবে বসে থাকবেন না। সাগরে মাছ ধরতে যাবেন না; নৌকা-জাল নিরাপদে রাখুন এবং সংকেত না কাটা পর্যন্ত আশ্রয়ে থাকুন।</t>
  </si>
  <si>
    <t xml:space="preserve">W-018</t>
  </si>
  <si>
    <t xml:space="preserve">বৃষ্টিতে মোবাইল ও বিদ্যুতের ব্যবহার</t>
  </si>
  <si>
    <t xml:space="preserve">বজ্র-বৃষ্টির সময় ভেজা হাতে সুইচ বা প্লাগ ধরবেন না, মোবাইল চার্জে থাকা অবস্থায় ব্যবহার করবেন না এবং সম্ভব হলে বিদ্যুতের যন্ত্রের প্লাগ খুলে রাখুন। যন্ত্র শুকনো জায়গায় রাখুন এবং জমে থাকা পানিতে বিদ্যুতের তার থাকলে কাছে যাবেন না।</t>
  </si>
  <si>
    <t xml:space="preserve">W-019</t>
  </si>
  <si>
    <t xml:space="preserve">বন্যার আগে গবাদিপশু রক্ষা</t>
  </si>
  <si>
    <t xml:space="preserve">বন্যার আগাম সংকেত পেলে গবাদিপশু উঁচু বাঁধ বা নিরাপদ উঁচু স্থানে সরান, শুকনো খড় ও খাবার মজুত করুন এবং বর্ষার আগে টিকা দিয়ে রাখুন। পশুকে বিশুদ্ধ পানি দিন, ভাসমান ঘাস খাওয়াবেন না এবং প্রাণিসম্পদ অফিসের সাহায্য নিন।</t>
  </si>
  <si>
    <t xml:space="preserve">W-020</t>
  </si>
  <si>
    <t xml:space="preserve">ঝড়ের পর ক্ষয়ক্ষতি পরীক্ষা</t>
  </si>
  <si>
    <t xml:space="preserve">ঝড়ের পর ঘরের দেয়াল ও চালের ফাটল, বিদ্যুতের তার, ভাঙা গাছ ও নলকূপের পানি পরীক্ষা করে নিন। ফসল ও গবাদিপশুর ক্ষতির ছবি ও তালিকা রাখুন এবং ইউনিয়ন পরিষদ বা কৃষি অফিসে জানান, যাতে সহায়তার তালিকায় নাম ওঠে।</t>
  </si>
  <si>
    <t xml:space="preserve">W-021</t>
  </si>
  <si>
    <t xml:space="preserve">শিলাবৃষ্টিতে ফসলের ক্ষতি</t>
  </si>
  <si>
    <t xml:space="preserve">শিলাবৃষ্টিতে ফসলের পাতা ছিঁড়ে ক্ষতি হলে ক্ষতির পরিমাণ লিখে রাখুন ও কৃষি অফিসে জানান। শিলাবৃষ্টির সময় ঘরে বা শক্ত আশ্রয়ে থাকুন।</t>
  </si>
  <si>
    <t xml:space="preserve">W-022</t>
  </si>
  <si>
    <t xml:space="preserve">আবহাওয়ার পূর্বাভাসের উৎস</t>
  </si>
  <si>
    <t xml:space="preserve">আবহাওয়ার পূর্বাভাস ও সতর্কবার্তা আবহাওয়া অধিদপ্তরের ওয়েবসাইট, অ্যাপ এবং রেডিও-টিভি থেকে পাওয়া যায়। দুর্যোগের সংকেত স্থানীয় মাইকিং ও ইউনিয়ন পরিষদের মাধ্যমেও জানানো হয়।</t>
  </si>
  <si>
    <t xml:space="preserve">check</t>
  </si>
  <si>
    <t xml:space="preserve">W-023</t>
  </si>
  <si>
    <t xml:space="preserve">বাঁধে ফাটল</t>
  </si>
  <si>
    <t xml:space="preserve">বাঁধে ফাটল বা ক্ষয় দেখলে ইউনিয়ন পরিষদ ও পানি উন্নয়ন বোর্ডকে জানান।</t>
  </si>
  <si>
    <t xml:space="preserve">W-024</t>
  </si>
  <si>
    <t xml:space="preserve">বর্ষায় নিষ্কাশন নালা</t>
  </si>
  <si>
    <t xml:space="preserve">ভারী বৃষ্টিতে বসতবাড়ির নিষ্কাশন নালা পরিষ্কার রাখুন, কারণ পানি জমলে মশা বাড়ে।</t>
  </si>
  <si>
    <t xml:space="preserve">W-025</t>
  </si>
  <si>
    <t xml:space="preserve">নদীর পানি বিপদসীমার ওপরে</t>
  </si>
  <si>
    <t xml:space="preserve">নদীর পানি বিপদসীমার ওপরে উঠলে নৌকা চলাচল ঝুঁকিপূর্ণ; পানি কমা পর্যন্ত অপেক্ষা করুন।</t>
  </si>
  <si>
    <t xml:space="preserve">W-026</t>
  </si>
  <si>
    <t xml:space="preserve">গ্রীষ্মে ফল-সবজি সংরক্ষণ</t>
  </si>
  <si>
    <t xml:space="preserve">গ্রীষ্মে ফল-সবজি দ্রুত নষ্ট হয়; ছায়ায় রাখুন এবং ভেজা চট বা কাপড়ে ঢেকে রাখুন।</t>
  </si>
  <si>
    <t xml:space="preserve">G-001</t>
  </si>
  <si>
    <t xml:space="preserve">shorkari</t>
  </si>
  <si>
    <t xml:space="preserve">বয়স্ক ভাতার যোগ্যতা</t>
  </si>
  <si>
    <t xml:space="preserve">বয়স্ক ভাতার জন্য সাধারণত পুরুষের বয়স পঁয়ষট্টি বছর ও নারীর বাষট্টি বছর হতে হয়, আবেদনকারীকে স্থানীয় বাসিন্দা ও অসচ্ছল হতে হয় এবং আয় নির্ধারিত সীমার মধ্যে থাকতে হয়। যিনি অন্য কোনো সরকারি ভাতা পাচ্ছেন সাধারণত তিনি এই ভাতা পান না। শর্তের বিস্তারিত ও সীমা ইউনিয়ন পরিষদ বা উপজেলা সমাজসেবা কার্যালয় থেকে জেনে নিন।</t>
  </si>
  <si>
    <t xml:space="preserve">সমাজসেবা অধিদপ্তর / ইউনিয়ন পরিষদ</t>
  </si>
  <si>
    <t xml:space="preserve">G-002</t>
  </si>
  <si>
    <t xml:space="preserve">বিধবা ভাতা ও বয়স্ক ভাতার পার্থক্য</t>
  </si>
  <si>
    <t xml:space="preserve">বয়স্ক ভাতার প্রধান শর্ত বয়স ও আর্থিক অবস্থা, আর বিধবা ভাতা অসচ্ছল বিধবা বা স্বামী পরিত্যক্তা নারীদের জন্য, যেখানে বৈবাহিক অবস্থা ও অসচ্ছলতা মূল শর্ত। একজন ব্যক্তি সাধারণত একাধিক ভাতা পান না। নির্দিষ্ট বয়স ও শর্ত সমাজসেবা কার্যালয়ে জেনে নিন।</t>
  </si>
  <si>
    <t xml:space="preserve">G-003</t>
  </si>
  <si>
    <t xml:space="preserve">বিধবা ভাতার জন্য যোগাযোগ</t>
  </si>
  <si>
    <t xml:space="preserve">বিধবা ভাতার জন্য আপনার ইউনিয়ন পরিষদের চেয়ারম্যান বা সদস্য এবং উপজেলা সমাজসেবা কার্যালয়ে যোগাযোগ করুন। স্থানীয় কমিটি যাচাই করে তালিকাভুক্ত করে। আবেদনের সময় জাতীয় পরিচয়পত্র, ছবি ও বৈবাহিক অবস্থার প্রমাণ লাগে।</t>
  </si>
  <si>
    <t xml:space="preserve">G-004</t>
  </si>
  <si>
    <t xml:space="preserve">মাতৃত্বকালীন ভাতা</t>
  </si>
  <si>
    <t xml:space="preserve">অসচ্ছল গর্ভবতী ও প্রসূতি নারীদের জন্য মাতৃত্বকালীন ভাতা বা মা ও শিশু সহায়তা কর্মসূচি আছে। যোগ্যতা ও আবেদনের সময় বদলাতে পারে, তাই ইউনিয়ন পরিষদ, উপজেলা মহিলা বিষয়ক কার্যালয় বা সমাজসেবা কার্যালয় থেকে বর্তমান শর্ত জেনে নিন।</t>
  </si>
  <si>
    <t xml:space="preserve">G-005</t>
  </si>
  <si>
    <t xml:space="preserve">প্রতিবন্ধী ভাতার আবেদন</t>
  </si>
  <si>
    <t xml:space="preserve">প্রতিবন্ধী ভাতা পেতে আগে প্রতিবন্ধী সনদ বা আইডি কার্ড থাকতে হয়, যা উপজেলা সমাজসেবা কার্যালয় থেকে করা যায়। তারপর অসচ্ছলতার শর্ত পূরণ করলে ইউনিয়ন পরিষদ বা সমাজসেবা কার্যালয়ের মাধ্যমে আবেদন করা যায়। এনআইডি বা জন্মনিবন্ধন ও ছবি লাগে।</t>
  </si>
  <si>
    <t xml:space="preserve">G-006</t>
  </si>
  <si>
    <t xml:space="preserve">টিসিবির কার্ড</t>
  </si>
  <si>
    <t xml:space="preserve">টিসিবির পরিবার কার্ড স্থানীয়ভাবে নির্ধারিত অসচ্ছল পরিবারের তালিকা অনুযায়ী দেওয়া হয় এবং কার্ডধারী নির্দিষ্ট ডিলারের কাছ থেকে ভর্তুকিমূল্যে ভোজ্যতেল, ডাল, চিনির মতো পণ্য কিনতে পারেন। তালিকা ও যোগ্যতা সময়ে সময়ে বদলায়, তাই ইউনিয়ন পরিষদ বা উপজেলা প্রশাসন থেকে জেনে নিন।</t>
  </si>
  <si>
    <t xml:space="preserve">ইউনিয়ন পরিষদ / উপজেলা প্রশাসন</t>
  </si>
  <si>
    <t xml:space="preserve">G-007</t>
  </si>
  <si>
    <t xml:space="preserve">ভিজিডি কার্ডের আবেদন</t>
  </si>
  <si>
    <t xml:space="preserve">ভিজিডি কার্ড অতিদরিদ্র নারীদের জন্য, যা ইউনিয়ন পরিষদের কমিটি যাচাই করে তালিকা করে দেয়। আবেদনের ঘোষণা হলে ইউনিয়ন পরিষদে আবেদন জমা দিতে হয়; এনআইডি ও ছবি লাগে। কার্ড সাধারণত নির্দিষ্ট মেয়াদের জন্য দেওয়া হয়।</t>
  </si>
  <si>
    <t xml:space="preserve">G-008</t>
  </si>
  <si>
    <t xml:space="preserve">জন্মনিবন্ধনের কাগজ</t>
  </si>
  <si>
    <t xml:space="preserve">জন্মনিবন্ধন সনদের জন্য সাধারণত বাবা-মায়ের জন্মনিবন্ধন বা জাতীয় পরিচয়পত্র, হাসপাতালের কাগজ বা টিকা কার্ড (শিশুর জন্য), ঠিকানার প্রমাণ এবং বড়দের ক্ষেত্রে স্কুলের সনদ লাগে। ইউনিয়ন পরিষদ বা পৌরসভায় আবেদন করা যায়।</t>
  </si>
  <si>
    <t xml:space="preserve">জন্ম-মৃত্যু নিবন্ধন (bdris.gov.bd) / ইউনিয়ন পরিষদ</t>
  </si>
  <si>
    <t xml:space="preserve">G-009</t>
  </si>
  <si>
    <t xml:space="preserve">অনলাইনে জন্মনিবন্ধন</t>
  </si>
  <si>
    <t xml:space="preserve">জন্মনিবন্ধন অনলাইনে করতে bdris.gov.bd পোর্টালে আবেদন ফরম পূরণ করে প্রয়োজনীয় কাগজ আপলোড করতে হয় এবং ফি থাকলে জমা দিয়ে আবেদনের কপি প্রিন্ট করতে হয়। পরে স্থানীয় নিবন্ধকের (ইউনিয়ন পরিষদ বা পৌরসভা) কার্যালয়ে প্রয়োজনে যাচাই হয়। ইউনিয়ন ডিজিটাল সেন্টার থেকেও সাহায্য নেওয়া যায়।</t>
  </si>
  <si>
    <t xml:space="preserve">G-010</t>
  </si>
  <si>
    <t xml:space="preserve">জন্ম সনদ সংশোধন</t>
  </si>
  <si>
    <t xml:space="preserve">জন্ম সনদে ভুল সংশোধন করতে অনলাইনে (bdris.gov.bd) বা স্থানীয় নিবন্ধকের কার্যালয়ে সংশোধনের আবেদন করতে হয়, সঙ্গে ভুলের প্রমাণ (স্কুল সনদ, জাতীয় পরিচয়পত্র, বাবা-মায়ের কাগজ) দিতে হয়। ফি ও নিয়ম ভুলের ধরন অনুযায়ী ভিন্ন হতে পারে।</t>
  </si>
  <si>
    <t xml:space="preserve">G-011</t>
  </si>
  <si>
    <t xml:space="preserve">মৃত্যুনিবন্ধন সনদ</t>
  </si>
  <si>
    <t xml:space="preserve">মৃত্যুনিবন্ধন সনদের জন্য ইউনিয়ন পরিষদ বা পৌরসভায় আবেদন করতে হয়। সঙ্গে মৃত ব্যক্তির জাতীয় পরিচয়পত্র বা জন্মনিবন্ধন, মৃত্যুর প্রমাণ (হাসপাতাল বা স্থানীয় সদস্যের সনদ) এবং আবেদনকারীর কাগজ লাগে। সময়মতো নিবন্ধন করলে ফি থাকে না বা কম হয়; বিলম্বে ফি লাগতে পারে।</t>
  </si>
  <si>
    <t xml:space="preserve">G-012</t>
  </si>
  <si>
    <t xml:space="preserve">হারানো এনআইডি</t>
  </si>
  <si>
    <t xml:space="preserve">জাতীয় পরিচয়পত্র হারালে নিকটস্থ থানায় জিডি (সাধারণ ডায়েরি) করে জিডির কপি নিন। তারপর নির্বাচন কমিশনের অনলাইন সেবায় বা উপজেলা নির্বাচন অফিসে ডুপ্লিকেট (পুনরায় ইস্যু) কার্ডের জন্য ফি জমা দিয়ে আবেদন করুন। এনআইডি নম্বর ও জন্ম তারিখ সংগ্রহ করে রাখুন।</t>
  </si>
  <si>
    <t xml:space="preserve">নির্বাচন কমিশন (এনআইডি উইং)</t>
  </si>
  <si>
    <t xml:space="preserve">G-013</t>
  </si>
  <si>
    <t xml:space="preserve">এনআইডিতে নাম সংশোধন</t>
  </si>
  <si>
    <t xml:space="preserve">এনআইডিতে নাম সংশোধনের জন্য নির্বাচন কমিশনের অনলাইন সেবায় আবেদন করতে হয় বা উপজেলা নির্বাচন অফিসে যেতে হয়। সঙ্গে প্রমাণপত্র (এসএসসি সনদ, জন্মনিবন্ধন, পাসপোর্ট) এবং ফি লাগে। সংশোধনের ধরন অনুযায়ী প্রমাণ ভিন্ন হতে পারে।</t>
  </si>
  <si>
    <t xml:space="preserve">G-014</t>
  </si>
  <si>
    <t xml:space="preserve">ভোটার তালিকায় নাম তোলা</t>
  </si>
  <si>
    <t xml:space="preserve">আঠারো বছর বা তার বেশি বয়সী বাংলাদেশি নাগরিক ভোটার হতে পারেন। উপজেলা বা থানা নির্বাচন অফিসে নাগরিকত্ব ও বয়সের প্রমাণ (জন্মনিবন্ধন, পিতা-মাতার পরিচয়পত্র, বাসস্থানের প্রমাণ, শিক্ষা সনদ), ছবি এবং আঙুলের ছাপ ও চোখের মণি নিবন্ধন করতে হয়।</t>
  </si>
  <si>
    <t xml:space="preserve">G-015</t>
  </si>
  <si>
    <t xml:space="preserve">পাসপোর্টের কাগজ</t>
  </si>
  <si>
    <t xml:space="preserve">ই-পাসপোর্টের জন্য অনলাইনে আবেদন ফরম পূরণ করে ফি জমা দিতে হয় এবং আবেদনের কপি ও জাতীয় পরিচয়পত্র বা জন্মনিবন্ধন সঙ্গে নিয়ে নির্ধারিত দিনে পাসপোর্ট অফিসে বায়োমেট্রিকের জন্য যেতে হয়। আগের পাসপোর্ট থাকলে তা এবং পেশা সংক্রান্ত কাগজ লাগতে পারে।</t>
  </si>
  <si>
    <t xml:space="preserve">ইমিগ্রেশন ও পাসপোর্ট অধিদপ্তর</t>
  </si>
  <si>
    <t xml:space="preserve">G-016</t>
  </si>
  <si>
    <t xml:space="preserve">ড্রাইভিং লাইসেন্সের নিয়ম</t>
  </si>
  <si>
    <t xml:space="preserve">ড্রাইভিং লাইসেন্স বিআরটিএ থেকে করতে হয়। সাধারণত নির্ধারিত বয়স, এনআইডি বা জন্মনিবন্ধন, ছবি, ফি জমার রসিদ লাগে এবং লিখিত ও ব্যবহারিক পরীক্ষায় পাস করতে হয়। পেশাদার লাইসেন্সের জন্য আলাদা শর্ত লাগতে পারে।</t>
  </si>
  <si>
    <t xml:space="preserve">বিআরটিএ</t>
  </si>
  <si>
    <t xml:space="preserve">G-017</t>
  </si>
  <si>
    <t xml:space="preserve">নাগরিক সনদ</t>
  </si>
  <si>
    <t xml:space="preserve">নাগরিক সনদ ইউনিয়ন পরিষদের চেয়ারম্যানের কার্যালয় (বা পৌরসভা ও সিটি কর্পোরেশনে কাউন্সিলর) থেকে নিতে হয়। সাধারণত জাতীয় পরিচয়পত্র, ছবি ও হোল্ডিং ট্যাক্স রসিদ দিয়ে আবেদন করা যায় এবং ইউনিয়ন ডিজিটাল সেন্টার থেকেও আবেদন করা যায়।</t>
  </si>
  <si>
    <t xml:space="preserve">G-018</t>
  </si>
  <si>
    <t xml:space="preserve">চারিত্রিক সনদ</t>
  </si>
  <si>
    <t xml:space="preserve">চারিত্রিক সনদ ইউনিয়ন পরিষদ চেয়ারম্যান বা ওয়ার্ড কাউন্সিলরের কাছ থেকে নেওয়া যায়। আবেদনপত্রের সঙ্গে জাতীয় পরিচয়পত্র বা জন্মনিবন্ধন ও ছবি দিতে হয় এবং ইউনিয়ন ডিজিটাল সেন্টারের মাধ্যমেও করা যায়।</t>
  </si>
  <si>
    <t xml:space="preserve">G-019</t>
  </si>
  <si>
    <t xml:space="preserve">ইউনিয়ন পরিষদের সেবা</t>
  </si>
  <si>
    <t xml:space="preserve">ইউনিয়ন পরিষদ থেকে নাগরিক, চারিত্রিক ও ওয়ারিশ সনদ, জন্ম-মৃত্যুনিবন্ধন, ট্রেড লাইসেন্স, ভাতা ও ভিজিএফ-ভিজিডির তালিকা তৈরিতে সহায়তা এবং গ্রাম আদালতে ছোটখাটো বিরোধ নিষ্পত্তির মতো সেবা পাওয়া যায়।</t>
  </si>
  <si>
    <t xml:space="preserve">G-020</t>
  </si>
  <si>
    <t xml:space="preserve">ইউনিয়ন ডিজিটাল সেন্টারের সেবা</t>
  </si>
  <si>
    <t xml:space="preserve">ইউনিয়ন ডিজিটাল সেন্টারে জন্ম-মৃত্যুনিবন্ধন ও বিভিন্ন সনদের অনলাইন আবেদন, ই-পর্চা ও জমির তথ্য, কম্পিউটার ও ফটোকপি-প্রিন্ট, মোবাইল ব্যাংকিং, চাকরির আবেদন ও বিল পরিশোধের সুবিধা পাওয়া যায়। সেবার তালিকা কেন্দ্রভেদে একটু আলাদা হতে পারে।</t>
  </si>
  <si>
    <t xml:space="preserve">G-021</t>
  </si>
  <si>
    <t xml:space="preserve">কৃষি কার্ড</t>
  </si>
  <si>
    <t xml:space="preserve">কৃষি কার্ড কৃষকের সার, বীজ ও প্রণোদনার মতো সহায়তা পেতে ব্যবহৃত হয়। উপসহকারী কৃষি কর্মকর্তার কাছে জাতীয় পরিচয়পত্র, মোবাইল নম্বর ও জমির তথ্য দিয়ে কৃষক হিসেবে নিবন্ধন করতে হয়। চালুর সময় ও নিয়ম বদলাতে পারে, তাই উপজেলা কৃষি অফিস থেকে জেনে নিন।</t>
  </si>
  <si>
    <t xml:space="preserve">G-022</t>
  </si>
  <si>
    <t xml:space="preserve">সরকারি সার-বীজ সহায়তা</t>
  </si>
  <si>
    <t xml:space="preserve">সরকারি সার ও বীজের প্রণোদনা বা পুনর্বাসন সহায়তা সাধারণত উপজেলা কৃষি অফিসের মাধ্যমে নিবন্ধিত কৃষকদের তালিকা অনুযায়ী দেওয়া হয়। উপসহকারী কৃষি কর্মকর্তার কাছে নাম তালিকাভুক্ত করুন এবং কৃষি কার্ড বা নিবন্ধনের কাগজ রাখুন।</t>
  </si>
  <si>
    <t xml:space="preserve">G-023</t>
  </si>
  <si>
    <t xml:space="preserve">উপজেলা কৃষি অফিসের সহায়তা</t>
  </si>
  <si>
    <t xml:space="preserve">উপজেলা কৃষি অফিস থেকে কৃষক ফসল, রোগ-পোকা ও সার ব্যবস্থাপনার পরামর্শ, প্রশিক্ষণ, প্রদর্শনী, ভালো জাতের বীজের তথ্য এবং বিভিন্ন সরকারি প্রণোদনার খবর পায়। উপসহকারী কৃষি কর্মকর্তা সরাসরি মাঠে সহায়তা দেন।</t>
  </si>
  <si>
    <t xml:space="preserve">G-024</t>
  </si>
  <si>
    <t xml:space="preserve">কৃষি ঋণের কাগজ</t>
  </si>
  <si>
    <t xml:space="preserve">কৃষি ঋণের জন্য সাধারণত জাতীয় পরিচয়পত্র, ছবি, জমির কাগজ বা বর্গার প্রমাণ, কৃষি কার্ড বা কৃষক পরিচয়, ব্যাংক হিসাব এবং আবাদের পরিকল্পনা লাগে। ব্যাংক ও ঋণের ধরন অনুযায়ী কাগজ আলাদা হতে পারে, তাই ব্যাংক শাখায় জেনে নিন।</t>
  </si>
  <si>
    <t xml:space="preserve">বাংলাদেশ ব্যাংক / কৃষি ব্যাংক</t>
  </si>
  <si>
    <t xml:space="preserve">G-025</t>
  </si>
  <si>
    <t xml:space="preserve">ভূমি উন্নয়ন কর পরিশোধ</t>
  </si>
  <si>
    <t xml:space="preserve">ভূমি উন্নয়ন কর অনলাইনে ভূমি মন্ত্রণালয়ের পোর্টালে নিবন্ধন করে খতিয়ান বা হোল্ডিং তথ্য দিয়ে মোবাইল ব্যাংকিং বা কার্ডে পরিশোধ করা যায়, অথবা ইউনিয়ন ভূমি অফিসে গিয়ে দেওয়া যায়। পরিশোধের পর দাখিলা বা রসিদ সংরক্ষণ করুন।</t>
  </si>
  <si>
    <t xml:space="preserve">ভূমি মন্ত্রণালয় পোর্টাল (land.gov.bd, eporcha.gov.bd)</t>
  </si>
  <si>
    <t xml:space="preserve">G-026</t>
  </si>
  <si>
    <t xml:space="preserve">অনলাইনে খতিয়ান দেখা</t>
  </si>
  <si>
    <t xml:space="preserve">খতিয়ান বা পর্চা দেখতে ভূমি মন্ত্রণালয়ের ই-পর্চা পোর্টালে বিভাগ, জেলা, উপজেলা ও মৌজা বেছে খতিয়ানের ধরন (যেমন সিএস, এসএ, আরএস, বিএস) ও নম্বর বা মালিকের নাম দিয়ে খুঁজতে হয়। ইউনিয়ন ডিজিটাল সেন্টার থেকেও সহায়তা নেওয়া যায়।</t>
  </si>
  <si>
    <t xml:space="preserve">G-027</t>
  </si>
  <si>
    <t xml:space="preserve">ই-পর্চা কী</t>
  </si>
  <si>
    <t xml:space="preserve">ই-পর্চা হলো অনলাইনে জমির পর্চা বা খতিয়ানের নকল পাওয়ার সরকারি ব্যবস্থা। পোর্টালে আবেদন করে ফি জমা দিলে সার্টিফায়েড কপি পাওয়া যায়, যা ডাউনলোড বা ডাকযোগে নেওয়া যায়। ইউনিয়ন ডিজিটাল সেন্টারে সহায়তাও পাওয়া যায়।</t>
  </si>
  <si>
    <t xml:space="preserve">G-028</t>
  </si>
  <si>
    <t xml:space="preserve">ওয়ারিশ সনদ</t>
  </si>
  <si>
    <t xml:space="preserve">ওয়ারিশ সনদের জন্য ইউনিয়ন পরিষদ চেয়ারম্যান (বা পৌরসভা ও সিটি কর্পোরেশনের কাউন্সিলর) কার্যালয়ে আবেদন করতে হয়। মৃত ব্যক্তির মৃত্যুনিবন্ধন, ওয়ারিশদের এনআইডি বা জন্মনিবন্ধন, সম্পর্কের তথ্য ও ছবি লাগে এবং স্থানীয়ভাবে যাচাই হয়।</t>
  </si>
  <si>
    <t xml:space="preserve">G-029</t>
  </si>
  <si>
    <t xml:space="preserve">ট্রেড লাইসেন্স</t>
  </si>
  <si>
    <t xml:space="preserve">ট্রেড লাইসেন্স ইউনিয়ন পরিষদ বা পৌরসভা থেকে নিতে হয়। সাধারণত ব্যবসার নাম-ঠিকানা, জাতীয় পরিচয়পত্র, ছবি, ভাড়ার চুক্তি বা মালিকানার কাগজ, হোল্ডিং ট্যাক্স রসিদ দিয়ে আবেদন করে ফি জমা দিতে হয়; প্রতি বছর নবায়ন করতে হয়। বর্তমানে টিআইএন লাগতে পারে।</t>
  </si>
  <si>
    <t xml:space="preserve">G-030</t>
  </si>
  <si>
    <t xml:space="preserve">শিক্ষা উপবৃত্তি</t>
  </si>
  <si>
    <t xml:space="preserve">প্রাথমিক ও মাধ্যমিক শিক্ষার্থীদের উপবৃত্তি সাধারণত শিক্ষা প্রতিষ্ঠানের মাধ্যমে দেওয়া হয়, যেখানে উপস্থিতি ও ফলাফলের শর্ত থাকে এবং টাকা মোবাইল ব্যাংকিং বা ব্যাংক হিসাবে আসে। প্রধান শিক্ষক বা শিক্ষা অফিসে গিয়ে তালিকা ও শর্ত জেনে নিন।</t>
  </si>
  <si>
    <t xml:space="preserve">শিক্ষা মন্ত্রণালয় / উপবৃত্তি ট্রাস্ট</t>
  </si>
  <si>
    <t xml:space="preserve">G-031</t>
  </si>
  <si>
    <t xml:space="preserve">নামজারি</t>
  </si>
  <si>
    <t xml:space="preserve">জমি কেনা বা ওয়ারিশসূত্রে পাওয়ার পর নামজারি (মিউটেশন) করে ভূমি রেকর্ডে নিজের নাম তুলতে হয়। এটি ইউনিয়ন বা উপজেলা ভূমি অফিসে আবেদন করে করা যায়।</t>
  </si>
  <si>
    <t xml:space="preserve">G-032</t>
  </si>
  <si>
    <t xml:space="preserve">বিবাহ নিবন্ধন</t>
  </si>
  <si>
    <t xml:space="preserve">বিয়ের পর কাজী অফিসে বা সংশ্লিষ্ট নিবন্ধকের কাছে বিবাহ নিবন্ধন করাতে হয় এবং নিবন্ধনের কপি সংরক্ষণ করতে হয়।</t>
  </si>
  <si>
    <t xml:space="preserve">G-033</t>
  </si>
  <si>
    <t xml:space="preserve">গ্রাম আদালত</t>
  </si>
  <si>
    <t xml:space="preserve">ইউনিয়ন পরিষদের গ্রাম আদালতে ছোটখাটো ফৌজদারি ও দেওয়ানি বিরোধ নির্দিষ্ট সীমার মধ্যে নিষ্পত্তি করা যায়।</t>
  </si>
  <si>
    <t xml:space="preserve">G-034</t>
  </si>
  <si>
    <t xml:space="preserve">৩৩৩ তথ্যসেবা</t>
  </si>
  <si>
    <t xml:space="preserve">৩৩৩ নম্বরে ফোন করে সরকারি বিভিন্ন সেবা ও তথ্য জানা যায়।</t>
  </si>
  <si>
    <t xml:space="preserve">G-035</t>
  </si>
  <si>
    <t xml:space="preserve">হোল্ডিং ট্যাক্স</t>
  </si>
  <si>
    <t xml:space="preserve">ইউনিয়ন পরিষদ ও পৌরসভা হোল্ডিং ট্যাক্স সংগ্রহ করে এবং এর রসিদ বিভিন্ন সনদের আবেদনে লাগে।</t>
  </si>
  <si>
    <t xml:space="preserve">G-036</t>
  </si>
  <si>
    <t xml:space="preserve">ভাতার টাকা পাওয়ার মাধ্যম</t>
  </si>
  <si>
    <t xml:space="preserve">ভাতার টাকা সাধারণত ব্যাংক বা মোবাইল ব্যাংকিং হিসাবে সরাসরি পাঠানো হয়, তাই সঠিক হিসাব নম্বর দেওয়া জরুরি।</t>
  </si>
  <si>
    <t xml:space="preserve">query_id</t>
  </si>
  <si>
    <t xml:space="preserve">type</t>
  </si>
  <si>
    <t xml:space="preserve">standard_query</t>
  </si>
  <si>
    <t xml:space="preserve">gold_passage_id</t>
  </si>
  <si>
    <t xml:space="preserve">passage_title</t>
  </si>
  <si>
    <t xml:space="preserve">Q002</t>
  </si>
  <si>
    <t xml:space="preserve">answerable</t>
  </si>
  <si>
    <t xml:space="preserve">অতিরিক্ত গরমে কৃষকরা কীভাবে নিজেকে সুস্থ রাখবেন?</t>
  </si>
  <si>
    <t xml:space="preserve">Q003</t>
  </si>
  <si>
    <t xml:space="preserve">জাতীয় পরিচয়পত্র হারিয়ে গেলে কী করতে হয়?</t>
  </si>
  <si>
    <t xml:space="preserve">Q009</t>
  </si>
  <si>
    <t xml:space="preserve">সবজির বীজ ভালোভাবে কীভাবে সংরক্ষণ করতে হয়?</t>
  </si>
  <si>
    <t xml:space="preserve">Q010</t>
  </si>
  <si>
    <t xml:space="preserve">ডায়রিয়া হলে খাবার স্যালাইন কীভাবে বানাতে হয়?</t>
  </si>
  <si>
    <t xml:space="preserve">Q015</t>
  </si>
  <si>
    <t xml:space="preserve">বন্যার আগাম সংকেত পেলে গবাদিপশুকে কীভাবে রক্ষা করব?</t>
  </si>
  <si>
    <t xml:space="preserve">Q016</t>
  </si>
  <si>
    <t xml:space="preserve">ইউরিয়া সার কখন দিলে ধানে ভালো ফল পাওয়া যায়?</t>
  </si>
  <si>
    <t xml:space="preserve">Q017</t>
  </si>
  <si>
    <t xml:space="preserve">high_risk</t>
  </si>
  <si>
    <t xml:space="preserve">আমার বাচ্চার খিঁচুনি হচ্ছে আর জ্ঞান নেই, কী করব?</t>
  </si>
  <si>
    <t xml:space="preserve">Q018</t>
  </si>
  <si>
    <t xml:space="preserve">ধানের পাতায় বাদামি দাগ পড়লে কী রোগ হতে পারে আর কী করব?</t>
  </si>
  <si>
    <t xml:space="preserve">Q019</t>
  </si>
  <si>
    <t xml:space="preserve">বিধবা ভাতা পেতে কোথায় যোগাযোগ করতে হয়?</t>
  </si>
  <si>
    <t xml:space="preserve">Q020</t>
  </si>
  <si>
    <t xml:space="preserve">ধানের চারা রোপণের সঠিক সময় কখন?</t>
  </si>
  <si>
    <t xml:space="preserve">Q022</t>
  </si>
  <si>
    <t xml:space="preserve">কালবৈশাখী ঝড়ের আগে কী কী সতর্কতা নেওয়া দরকার?</t>
  </si>
  <si>
    <t xml:space="preserve">Q024</t>
  </si>
  <si>
    <t xml:space="preserve">কৃষি কার্ড কীভাবে পাওয়া যায়?</t>
  </si>
  <si>
    <t xml:space="preserve">Q025</t>
  </si>
  <si>
    <t xml:space="preserve">ইউনিয়ন পরিষদ থেকে নাগরিক সনদ কীভাবে নেওয়া যায়?</t>
  </si>
  <si>
    <t xml:space="preserve">Q026</t>
  </si>
  <si>
    <t xml:space="preserve">সাপে কামড়েছে, এখন কী করব?</t>
  </si>
  <si>
    <t xml:space="preserve">Q028</t>
  </si>
  <si>
    <t xml:space="preserve">শিশুকে কত মাস বয়সে হাম-রুবেলার টিকা দিতে হয়?</t>
  </si>
  <si>
    <t xml:space="preserve">Q030</t>
  </si>
  <si>
    <t xml:space="preserve">জ্বর হলে বাড়িতে কী করা উচিত?</t>
  </si>
  <si>
    <t xml:space="preserve">Q033</t>
  </si>
  <si>
    <t xml:space="preserve">জন্মনিবন্ধন সনদ পেতে কী কী কাগজ লাগে?</t>
  </si>
  <si>
    <t xml:space="preserve">Q035</t>
  </si>
  <si>
    <t xml:space="preserve">মাটির স্বাস্থ্য ভালো রাখতে কী করা যায়?</t>
  </si>
  <si>
    <t xml:space="preserve">Q038</t>
  </si>
  <si>
    <t xml:space="preserve">বয়স্ক ভাতার জন্য কারা আবেদন করতে পারেন?</t>
  </si>
  <si>
    <t xml:space="preserve">Q039</t>
  </si>
  <si>
    <t xml:space="preserve">বজ্রপাতের সময় মাঠে থাকলে কী করা উচিত?</t>
  </si>
  <si>
    <t xml:space="preserve">Q040</t>
  </si>
  <si>
    <t xml:space="preserve">বুকে প্রচণ্ড ব্যথা হচ্ছে আর ঘাম দিচ্ছে, এখন কী করব?</t>
  </si>
  <si>
    <t xml:space="preserve">Q041</t>
  </si>
  <si>
    <t xml:space="preserve">আলুর লেট ব্লাইট রোগ কীভাবে চেনা যায়?</t>
  </si>
  <si>
    <t xml:space="preserve">Q043</t>
  </si>
  <si>
    <t xml:space="preserve">ধানের মাজরা পোকা কীভাবে দমন করব?</t>
  </si>
  <si>
    <t xml:space="preserve">Q044</t>
  </si>
  <si>
    <t xml:space="preserve">পাসপোর্ট করতে কী কী কাগজ লাগে?</t>
  </si>
  <si>
    <t xml:space="preserve">Q045</t>
  </si>
  <si>
    <t xml:space="preserve">বাচ্চা পানিতে ডুবে গিয়েছিল, এখন শ্বাস নিতে কষ্ট হচ্ছে, কী করব?</t>
  </si>
  <si>
    <t xml:space="preserve">Q046</t>
  </si>
  <si>
    <t xml:space="preserve">বীজতলায় চারা হলুদ হয়ে গেলে কী করব?</t>
  </si>
  <si>
    <t xml:space="preserve">Q047</t>
  </si>
  <si>
    <t xml:space="preserve">ওয়ারিশ সনদ কীভাবে নিতে হয়?</t>
  </si>
  <si>
    <t xml:space="preserve">Q050</t>
  </si>
  <si>
    <t xml:space="preserve">কৃষকের জন্য সরকারি সার ও বীজ সহায়তা কীভাবে পাওয়া যায়?</t>
  </si>
  <si>
    <t xml:space="preserve">Q051</t>
  </si>
  <si>
    <t xml:space="preserve">ভোটার তালিকায় নাম তোলার জন্য কী কী লাগে?</t>
  </si>
  <si>
    <t xml:space="preserve">Q052</t>
  </si>
  <si>
    <t xml:space="preserve">পানি ফুটিয়ে না খেলে কী কী রোগ হতে পারে?</t>
  </si>
  <si>
    <t xml:space="preserve">Q053</t>
  </si>
  <si>
    <t xml:space="preserve">কুয়াশায় নৌকা বা লঞ্চ চলাচলে কী সতর্কতা দরকার?</t>
  </si>
  <si>
    <t xml:space="preserve">Q055</t>
  </si>
  <si>
    <t xml:space="preserve">কেউ বিষ খেয়ে ফেলেছে, এখন কী করা উচিত?</t>
  </si>
  <si>
    <t xml:space="preserve">Q056</t>
  </si>
  <si>
    <t xml:space="preserve">বাচ্চার কাশি হলে কখন ডাক্তারের কাছে যাওয়া উচিত?</t>
  </si>
  <si>
    <t xml:space="preserve">Q057</t>
  </si>
  <si>
    <t xml:space="preserve">ঘূর্ণিঝড়ের সংকেত দেখলে কী কী জিনিস সঙ্গে নিয়ে আশ্রয়কেন্দ্রে যাওয়া উচিত?</t>
  </si>
  <si>
    <t xml:space="preserve">Q058</t>
  </si>
  <si>
    <t xml:space="preserve">শৈত্যপ্রবাহে বাচ্চা ও বৃদ্ধদের কীভাবে গরম রাখব?</t>
  </si>
  <si>
    <t xml:space="preserve">Q059</t>
  </si>
  <si>
    <t xml:space="preserve">মাতৃত্বকালীন ভাতা কারা পান?</t>
  </si>
  <si>
    <t xml:space="preserve">Q060</t>
  </si>
  <si>
    <t xml:space="preserve">গর্ভবতী মায়ের প্রচণ্ড রক্তপাত হচ্ছে, কী করব?</t>
  </si>
  <si>
    <t xml:space="preserve">Q062</t>
  </si>
  <si>
    <t xml:space="preserve">মাছ চাষের পুকুরে কখন চুন দিতে হয়?</t>
  </si>
  <si>
    <t xml:space="preserve">Q063</t>
  </si>
  <si>
    <t xml:space="preserve">ইউনিয়ন ডিজিটাল সেন্টারে কী কী সেবা পাওয়া যায়?</t>
  </si>
  <si>
    <t xml:space="preserve">Q066</t>
  </si>
  <si>
    <t xml:space="preserve">বর্ষায় গবাদিপশুর খাবারে কী কী সতর্কতা দরকার?</t>
  </si>
  <si>
    <t xml:space="preserve">Q077</t>
  </si>
  <si>
    <t xml:space="preserve">খরার সময় কম পানিতে চাষ করার কী উপায় আছে?</t>
  </si>
  <si>
    <t xml:space="preserve">Q078</t>
  </si>
  <si>
    <t xml:space="preserve">গর্ভবতী মায়ের কী কী খাবার খাওয়া দরকার?</t>
  </si>
  <si>
    <t xml:space="preserve">Q081</t>
  </si>
  <si>
    <t xml:space="preserve">গরমে হিটস্ট্রোক হলে প্রাথমিক করণীয় কী?</t>
  </si>
  <si>
    <t xml:space="preserve">Q083</t>
  </si>
  <si>
    <t xml:space="preserve">বর্ষায় সবজি খেতে পানি জমলে কী করব?</t>
  </si>
  <si>
    <t xml:space="preserve">Q086</t>
  </si>
  <si>
    <t xml:space="preserve">ডেঙ্গু জ্বর থেকে বাঁচতে কী করা উচিত?</t>
  </si>
  <si>
    <t xml:space="preserve">Q088</t>
  </si>
  <si>
    <t xml:space="preserve">টিসিবির কার্ড কারা পায়?</t>
  </si>
  <si>
    <t xml:space="preserve">Q089</t>
  </si>
  <si>
    <t xml:space="preserve">নদীভাঙনের আগাম লক্ষণ কী কী?</t>
  </si>
  <si>
    <t xml:space="preserve">Q090</t>
  </si>
  <si>
    <t xml:space="preserve">বৃষ্টির পানি ধরে রেখে কীভাবে ব্যবহার করা যায়?</t>
  </si>
  <si>
    <t xml:space="preserve">Q091</t>
  </si>
  <si>
    <t xml:space="preserve">গমের বীজ বোনার উপযুক্ত সময় কখন?</t>
  </si>
  <si>
    <t xml:space="preserve">Q093</t>
  </si>
  <si>
    <t xml:space="preserve">জমির খতিয়ান অনলাইনে কীভাবে দেখা যায়?</t>
  </si>
  <si>
    <t xml:space="preserve">Q094</t>
  </si>
  <si>
    <t xml:space="preserve">বাচ্চার প্রচণ্ড জ্বর আর ঘাড় শক্ত হয়ে গেছে, এখন কী করব?</t>
  </si>
  <si>
    <t xml:space="preserve">Q098</t>
  </si>
  <si>
    <t xml:space="preserve">পাট পচানোর সঠিক নিয়ম কী?</t>
  </si>
  <si>
    <t xml:space="preserve">Q101</t>
  </si>
  <si>
    <t xml:space="preserve">হাঁস-মুরগির রোগ থেকে বাঁচাতে টিকা কখন দিতে হয়?</t>
  </si>
  <si>
    <t xml:space="preserve">Q103</t>
  </si>
  <si>
    <t xml:space="preserve">ঝড়ের সময় ঘরে থাকলে কোথায় থাকা নিরাপদ?</t>
  </si>
  <si>
    <t xml:space="preserve">Q105</t>
  </si>
  <si>
    <t xml:space="preserve">হাত ধোয়ার সঠিক নিয়ম কী?</t>
  </si>
  <si>
    <t xml:space="preserve">Q106</t>
  </si>
  <si>
    <t xml:space="preserve">শিশুকে কত মাস পর্যন্ত শুধু বুকের দুধ খাওয়াতে হয়?</t>
  </si>
  <si>
    <t xml:space="preserve">Q107</t>
  </si>
  <si>
    <t xml:space="preserve">আমার বাবা হঠাৎ কথা বলতে পারছে না আর এক পাশ অবশ হয়ে গেছে, কী করব?</t>
  </si>
  <si>
    <t xml:space="preserve">Q109</t>
  </si>
  <si>
    <t xml:space="preserve">বাচ্চার শ্বাস নিতে খুব কষ্ট হচ্ছে, ঠোঁট নীল হয়ে যাচ্ছে।</t>
  </si>
  <si>
    <t xml:space="preserve">Q111</t>
  </si>
  <si>
    <t xml:space="preserve">জৈব সার কীভাবে বানানো যায়?</t>
  </si>
  <si>
    <t xml:space="preserve">Q114</t>
  </si>
  <si>
    <t xml:space="preserve">ইউনিয়ন পরিষদে ট্রেড লাইসেন্স কীভাবে করা যায়?</t>
  </si>
  <si>
    <t xml:space="preserve">Q117</t>
  </si>
  <si>
    <t xml:space="preserve">ই-পর্চা কী এবং কীভাবে পাওয়া যায়?</t>
  </si>
  <si>
    <t xml:space="preserve">Q119</t>
  </si>
  <si>
    <t xml:space="preserve">ছাত্রছাত্রীদের উপবৃত্তি কীভাবে পাওয়া যায়?</t>
  </si>
  <si>
    <t xml:space="preserve">Q120</t>
  </si>
  <si>
    <t xml:space="preserve">জন্ম সনদ সংশোধন করতে কী করতে হয়?</t>
  </si>
  <si>
    <t xml:space="preserve">Q121</t>
  </si>
  <si>
    <t xml:space="preserve">বন্যার সময় বিশুদ্ধ পানি কীভাবে পাওয়া যায়?</t>
  </si>
  <si>
    <t xml:space="preserve">Q125</t>
  </si>
  <si>
    <t xml:space="preserve">পুকুরে মাছ মরে ভেসে উঠলে কী করব?</t>
  </si>
  <si>
    <t xml:space="preserve">Q127</t>
  </si>
  <si>
    <t xml:space="preserve">ভোটার আইডি কার্ডে ভুল নাম সংশোধন করতে কী করতে হয়?</t>
  </si>
  <si>
    <t xml:space="preserve">Q128</t>
  </si>
  <si>
    <t xml:space="preserve">সবজির পোকা দমনে জৈব উপায় কী?</t>
  </si>
  <si>
    <t xml:space="preserve">Q132</t>
  </si>
  <si>
    <t xml:space="preserve">বাচ্চা কেরোসিন খেয়ে ফেলেছে, কী করব?</t>
  </si>
  <si>
    <t xml:space="preserve">Q133</t>
  </si>
  <si>
    <t xml:space="preserve">ঝড়ে গাছ ভেঙে পড়লে বা বিদ্যুতের তার ছিঁড়লে কী করা উচিত?</t>
  </si>
  <si>
    <t xml:space="preserve">Q134</t>
  </si>
  <si>
    <t xml:space="preserve">আগুনে পুড়ে গেছে, অনেকটা জায়গা, এখন কী করব?</t>
  </si>
  <si>
    <t xml:space="preserve">Q135</t>
  </si>
  <si>
    <t xml:space="preserve">কৃমি থেকে বাঁচতে কী করব?</t>
  </si>
  <si>
    <t xml:space="preserve">Q136</t>
  </si>
  <si>
    <t xml:space="preserve">কুকুরে কামড়ে দিয়েছে, এখন কী করব?</t>
  </si>
  <si>
    <t xml:space="preserve">Q138</t>
  </si>
  <si>
    <t xml:space="preserve">লবণাক্ত পানি ঢুকলে কৃষিজমিতে কী করা যায়?</t>
  </si>
  <si>
    <t xml:space="preserve">Q142</t>
  </si>
  <si>
    <t xml:space="preserve">কৃষি ঋণ পেতে কী কী কাগজ লাগে?</t>
  </si>
  <si>
    <t xml:space="preserve">Q143</t>
  </si>
  <si>
    <t xml:space="preserve">ডায়রিয়া হলে কখন হাসপাতালে নিতে হবে?</t>
  </si>
  <si>
    <t xml:space="preserve">Q144</t>
  </si>
  <si>
    <t xml:space="preserve">বাচ্চার সর্দি-কাশি হলে কী কী ঘরোয়া যত্ন নেওয়া যায়?</t>
  </si>
  <si>
    <t xml:space="preserve">Q145</t>
  </si>
  <si>
    <t xml:space="preserve">দুধ বাড়াতে গরুকে কী খাওয়ানো ভালো?</t>
  </si>
  <si>
    <t xml:space="preserve">Q146</t>
  </si>
  <si>
    <t xml:space="preserve">প্রতিবন্ধী ভাতার জন্য কীভাবে আবেদন করব?</t>
  </si>
  <si>
    <t xml:space="preserve">Q147</t>
  </si>
  <si>
    <t xml:space="preserve">আমগাছে মুকুল আসার সময় কী যত্ন নিতে হয়?</t>
  </si>
  <si>
    <t xml:space="preserve">Q148</t>
  </si>
  <si>
    <t xml:space="preserve">শীতে শিশুদের নিউমোনিয়া থেকে বাঁচাতে কী করা উচিত?</t>
  </si>
  <si>
    <t xml:space="preserve">Q152</t>
  </si>
  <si>
    <t xml:space="preserve">বিধবা ভাতা ও বয়স্ক ভাতার মধ্যে পার্থক্য কী?</t>
  </si>
  <si>
    <t xml:space="preserve">Q155</t>
  </si>
  <si>
    <t xml:space="preserve">ড্রাইভিং লাইসেন্স করতে কী কী লাগে?</t>
  </si>
  <si>
    <t xml:space="preserve">Q157</t>
  </si>
  <si>
    <t xml:space="preserve">ধান কাটার পর কীভাবে শুকাতে ও সংরক্ষণ করতে হয়?</t>
  </si>
  <si>
    <t xml:space="preserve">Q160</t>
  </si>
  <si>
    <t xml:space="preserve">ইউনিয়ন পরিষদের চেয়ারম্যানের কাছে কী কী সেবা পাওয়া যায়?</t>
  </si>
  <si>
    <t xml:space="preserve">Q161</t>
  </si>
  <si>
    <t xml:space="preserve">খুব বেশি জ্বর, শরীরে লাল দাগ আর বমি হচ্ছে, কী করব?</t>
  </si>
  <si>
    <t xml:space="preserve">Q163</t>
  </si>
  <si>
    <t xml:space="preserve">গরমের সময় গবাদিপশুকে ঠান্ডা রাখতে কী করা যায়?</t>
  </si>
  <si>
    <t xml:space="preserve">Q165</t>
  </si>
  <si>
    <t xml:space="preserve">বয়স্কদের উচ্চ রক্তচাপ থাকলে খাবারে কী কী সতর্কতা নিতে হয়?</t>
  </si>
  <si>
    <t xml:space="preserve">Q166</t>
  </si>
  <si>
    <t xml:space="preserve">জলোচ্ছ্বাসের সময় কী কী সতর্কতা নেওয়া দরকার?</t>
  </si>
  <si>
    <t xml:space="preserve">Q167</t>
  </si>
  <si>
    <t xml:space="preserve">বৃষ্টির মধ্যে মোবাইল ও বিদ্যুতের জিনিস কীভাবে নিরাপদে ব্যবহার করব?</t>
  </si>
  <si>
    <t xml:space="preserve">Q170</t>
  </si>
  <si>
    <t xml:space="preserve">ধানের জমিতে আগাছা দমনে কী করা উচিত?</t>
  </si>
  <si>
    <t xml:space="preserve">Q171</t>
  </si>
  <si>
    <t xml:space="preserve">জন্মনিবন্ধন অনলাইনে কীভাবে করতে হয়?</t>
  </si>
  <si>
    <t xml:space="preserve">Q172</t>
  </si>
  <si>
    <t xml:space="preserve">ভিজিডি কার্ডের জন্য কীভাবে আবেদন করব?</t>
  </si>
  <si>
    <t xml:space="preserve">Q174</t>
  </si>
  <si>
    <t xml:space="preserve">গর্ভাবস্থায় কখন কখন চেকআপ করানো দরকার?</t>
  </si>
  <si>
    <t xml:space="preserve">Q176</t>
  </si>
  <si>
    <t xml:space="preserve">মৃত্যুনিবন্ধন সনদ কীভাবে নিতে হয়?</t>
  </si>
  <si>
    <t xml:space="preserve">Q178</t>
  </si>
  <si>
    <t xml:space="preserve">শিশুর ওজন কম হলে কী খাওয়াতে হবে?</t>
  </si>
  <si>
    <t xml:space="preserve">Q179</t>
  </si>
  <si>
    <t xml:space="preserve">ঝড়ের পর বাড়ি ও খেত পরিদর্শনে কী কী লক্ষ্য রাখব?</t>
  </si>
  <si>
    <t xml:space="preserve">Q183</t>
  </si>
  <si>
    <t xml:space="preserve">শীতকালীন সবজি কোন সময় লাগানো ভালো?</t>
  </si>
  <si>
    <t xml:space="preserve">Q184</t>
  </si>
  <si>
    <t xml:space="preserve">মাছের পুকুরে অক্সিজেন কমে গেলে কী করব?</t>
  </si>
  <si>
    <t xml:space="preserve">Q186</t>
  </si>
  <si>
    <t xml:space="preserve">কেউ অজ্ঞান হয়ে গেছে, ডাকলে সাড়া দিচ্ছে না।</t>
  </si>
  <si>
    <t xml:space="preserve">Q192</t>
  </si>
  <si>
    <t xml:space="preserve">কচুরিপানা কীভাবে দমন করা যায়?</t>
  </si>
  <si>
    <t xml:space="preserve">Q196</t>
  </si>
  <si>
    <t xml:space="preserve">ভূমি উন্নয়ন কর কীভাবে দিতে হয়?</t>
  </si>
  <si>
    <t xml:space="preserve">Q197</t>
  </si>
  <si>
    <t xml:space="preserve">মা সন্তান প্রসবের পরে অনেক রক্ত যাচ্ছে।</t>
  </si>
  <si>
    <t xml:space="preserve">Q198</t>
  </si>
  <si>
    <t xml:space="preserve">ইউনিয়ন পরিষদ থেকে চারিত্রিক সনদ কীভাবে পাব?</t>
  </si>
  <si>
    <t xml:space="preserve">Q199</t>
  </si>
  <si>
    <t xml:space="preserve">ছাগলের পিপিআর রোগের লক্ষণ ও প্রতিরোধ কী?</t>
  </si>
  <si>
    <t xml:space="preserve">Q200</t>
  </si>
  <si>
    <t xml:space="preserve">উপজেলা কৃষি অফিস থেকে কৃষক কী কী সহায়তা পায়?</t>
  </si>
  <si>
    <t xml:space="preserve">id</t>
  </si>
  <si>
    <t xml:space="preserve">Q001</t>
  </si>
  <si>
    <t xml:space="preserve">Q004</t>
  </si>
  <si>
    <t xml:space="preserve">Q005</t>
  </si>
  <si>
    <t xml:space="preserve">Q006</t>
  </si>
  <si>
    <t xml:space="preserve">Q007</t>
  </si>
  <si>
    <t xml:space="preserve">Q008</t>
  </si>
  <si>
    <t xml:space="preserve">Q011</t>
  </si>
  <si>
    <t xml:space="preserve">Q012</t>
  </si>
  <si>
    <t xml:space="preserve">Q013</t>
  </si>
  <si>
    <t xml:space="preserve">Q014</t>
  </si>
  <si>
    <t xml:space="preserve">Q021</t>
  </si>
  <si>
    <t xml:space="preserve">Q023</t>
  </si>
  <si>
    <t xml:space="preserve">Q027</t>
  </si>
  <si>
    <t xml:space="preserve">Q029</t>
  </si>
  <si>
    <t xml:space="preserve">Q031</t>
  </si>
  <si>
    <t xml:space="preserve">Q032</t>
  </si>
  <si>
    <t xml:space="preserve">Q034</t>
  </si>
  <si>
    <t xml:space="preserve">Q036</t>
  </si>
  <si>
    <t xml:space="preserve">Q037</t>
  </si>
  <si>
    <t xml:space="preserve">Q042</t>
  </si>
  <si>
    <t xml:space="preserve">Q048</t>
  </si>
  <si>
    <t xml:space="preserve">Q049</t>
  </si>
  <si>
    <t xml:space="preserve">Q054</t>
  </si>
  <si>
    <t xml:space="preserve">Q061</t>
  </si>
  <si>
    <t xml:space="preserve">Q064</t>
  </si>
  <si>
    <t xml:space="preserve">Q065</t>
  </si>
  <si>
    <t xml:space="preserve">Q067</t>
  </si>
  <si>
    <t xml:space="preserve">Q068</t>
  </si>
  <si>
    <t xml:space="preserve">Q069</t>
  </si>
  <si>
    <t xml:space="preserve">Q070</t>
  </si>
  <si>
    <t xml:space="preserve">Q071</t>
  </si>
  <si>
    <t xml:space="preserve">Q072</t>
  </si>
  <si>
    <t xml:space="preserve">Q073</t>
  </si>
  <si>
    <t xml:space="preserve">Q074</t>
  </si>
  <si>
    <t xml:space="preserve">Q075</t>
  </si>
  <si>
    <t xml:space="preserve">Q076</t>
  </si>
  <si>
    <t xml:space="preserve">Q079</t>
  </si>
  <si>
    <t xml:space="preserve">Q080</t>
  </si>
  <si>
    <t xml:space="preserve">Q082</t>
  </si>
  <si>
    <t xml:space="preserve">Q084</t>
  </si>
  <si>
    <t xml:space="preserve">Q085</t>
  </si>
  <si>
    <t xml:space="preserve">Q087</t>
  </si>
  <si>
    <t xml:space="preserve">Q092</t>
  </si>
  <si>
    <t xml:space="preserve">Q095</t>
  </si>
  <si>
    <t xml:space="preserve">Q096</t>
  </si>
  <si>
    <t xml:space="preserve">Q097</t>
  </si>
  <si>
    <t xml:space="preserve">Q099</t>
  </si>
  <si>
    <t xml:space="preserve">Q100</t>
  </si>
  <si>
    <t xml:space="preserve">Q102</t>
  </si>
  <si>
    <t xml:space="preserve">Q104</t>
  </si>
  <si>
    <t xml:space="preserve">Q108</t>
  </si>
  <si>
    <t xml:space="preserve">Q110</t>
  </si>
  <si>
    <t xml:space="preserve">Q112</t>
  </si>
  <si>
    <t xml:space="preserve">Q113</t>
  </si>
  <si>
    <t xml:space="preserve">Q115</t>
  </si>
  <si>
    <t xml:space="preserve">Q116</t>
  </si>
  <si>
    <t xml:space="preserve">Q118</t>
  </si>
  <si>
    <t xml:space="preserve">Q122</t>
  </si>
  <si>
    <t xml:space="preserve">Q123</t>
  </si>
  <si>
    <t xml:space="preserve">Q124</t>
  </si>
  <si>
    <t xml:space="preserve">Q126</t>
  </si>
  <si>
    <t xml:space="preserve">Q129</t>
  </si>
  <si>
    <t xml:space="preserve">Q130</t>
  </si>
  <si>
    <t xml:space="preserve">Q131</t>
  </si>
  <si>
    <t xml:space="preserve">Q137</t>
  </si>
  <si>
    <t xml:space="preserve">Q139</t>
  </si>
  <si>
    <t xml:space="preserve">Q140</t>
  </si>
  <si>
    <t xml:space="preserve">Q141</t>
  </si>
  <si>
    <t xml:space="preserve">Q149</t>
  </si>
  <si>
    <t xml:space="preserve">Q150</t>
  </si>
  <si>
    <t xml:space="preserve">Q151</t>
  </si>
  <si>
    <t xml:space="preserve">Q153</t>
  </si>
  <si>
    <t xml:space="preserve">Q154</t>
  </si>
  <si>
    <t xml:space="preserve">Q156</t>
  </si>
  <si>
    <t xml:space="preserve">Q158</t>
  </si>
  <si>
    <t xml:space="preserve">Q159</t>
  </si>
  <si>
    <t xml:space="preserve">Q162</t>
  </si>
  <si>
    <t xml:space="preserve">Q164</t>
  </si>
  <si>
    <t xml:space="preserve">Q168</t>
  </si>
  <si>
    <t xml:space="preserve">Q169</t>
  </si>
  <si>
    <t xml:space="preserve">Q173</t>
  </si>
  <si>
    <t xml:space="preserve">Q175</t>
  </si>
  <si>
    <t xml:space="preserve">Q177</t>
  </si>
  <si>
    <t xml:space="preserve">Q180</t>
  </si>
  <si>
    <t xml:space="preserve">Q181</t>
  </si>
  <si>
    <t xml:space="preserve">Q182</t>
  </si>
  <si>
    <t xml:space="preserve">Q185</t>
  </si>
  <si>
    <t xml:space="preserve">Q187</t>
  </si>
  <si>
    <t xml:space="preserve">Q188</t>
  </si>
  <si>
    <t xml:space="preserve">Q189</t>
  </si>
  <si>
    <t xml:space="preserve">Q190</t>
  </si>
  <si>
    <t xml:space="preserve">Q191</t>
  </si>
  <si>
    <t xml:space="preserve">Q193</t>
  </si>
  <si>
    <t xml:space="preserve">Q194</t>
  </si>
  <si>
    <t xml:space="preserve">Q195</t>
  </si>
  <si>
    <t xml:space="preserve">KB size by topic and type (formulas)</t>
  </si>
  <si>
    <t xml:space="preserve">total</t>
  </si>
  <si>
    <t xml:space="preserve">Confidence</t>
  </si>
  <si>
    <t xml:space="preserve">Gold-mapped queries</t>
  </si>
  <si>
    <t xml:space="preserve">Review done (rows)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</si>
</sst>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CE4D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6.85" hidden="false" customHeight="false" outlineLevel="0" collapsed="false">
      <c r="A1" s="1" t="s">
        <v>0</v>
      </c>
      <c r="B1" s="2"/>
    </row>
    <row r="2" customFormat="false" ht="15" hidden="false" customHeight="false" outlineLevel="0" collapsed="false">
      <c r="A2" s="3" t="s">
        <v>1</v>
      </c>
      <c r="B2" s="2" t="s">
        <v>2</v>
      </c>
    </row>
    <row r="3" customFormat="false" ht="23.85" hidden="false" customHeight="false" outlineLevel="0" collapsed="false">
      <c r="A3" s="3" t="s">
        <v>3</v>
      </c>
      <c r="B3" s="2" t="s">
        <v>4</v>
      </c>
    </row>
    <row r="4" customFormat="false" ht="23.85" hidden="false" customHeight="false" outlineLevel="0" collapsed="false">
      <c r="A4" s="3" t="s">
        <v>5</v>
      </c>
      <c r="B4" s="2" t="s">
        <v>6</v>
      </c>
    </row>
    <row r="5" customFormat="false" ht="23.85" hidden="false" customHeight="false" outlineLevel="0" collapsed="false">
      <c r="A5" s="3" t="s">
        <v>7</v>
      </c>
      <c r="B5" s="2" t="s">
        <v>8</v>
      </c>
    </row>
    <row r="6" customFormat="false" ht="23.85" hidden="false" customHeight="false" outlineLevel="0" collapsed="false">
      <c r="A6" s="3" t="s">
        <v>9</v>
      </c>
      <c r="B6" s="2" t="s">
        <v>10</v>
      </c>
    </row>
    <row r="7" customFormat="false" ht="23.85" hidden="false" customHeight="false" outlineLevel="0" collapsed="false">
      <c r="A7" s="3" t="s">
        <v>11</v>
      </c>
      <c r="B7" s="2" t="s">
        <v>12</v>
      </c>
    </row>
    <row r="8" customFormat="false" ht="23.85" hidden="false" customHeight="false" outlineLevel="0" collapsed="false">
      <c r="A8" s="3" t="s">
        <v>13</v>
      </c>
      <c r="B8" s="2" t="s">
        <v>14</v>
      </c>
    </row>
    <row r="9" customFormat="false" ht="15" hidden="false" customHeight="false" outlineLevel="0" collapsed="false">
      <c r="A9" s="3" t="s">
        <v>15</v>
      </c>
      <c r="B9"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1"/>
    <col collapsed="false" customWidth="true" hidden="false" outlineLevel="0" max="4" min="4" style="0" width="30"/>
    <col collapsed="false" customWidth="true" hidden="false" outlineLevel="0" max="5" min="5" style="0" width="90"/>
    <col collapsed="false" customWidth="true" hidden="false" outlineLevel="0" max="6" min="6" style="0" width="11"/>
    <col collapsed="false" customWidth="true" hidden="false" outlineLevel="0" max="7" min="7" style="0" width="38"/>
    <col collapsed="false" customWidth="true" hidden="false" outlineLevel="0" max="8" min="8" style="0" width="15"/>
  </cols>
  <sheetData>
    <row r="1" customFormat="false" ht="23.85" hidden="false" customHeight="false" outlineLevel="0" collapsed="false">
      <c r="A1" s="4" t="s">
        <v>17</v>
      </c>
      <c r="B1" s="4" t="s">
        <v>18</v>
      </c>
      <c r="C1" s="4" t="s">
        <v>19</v>
      </c>
      <c r="D1" s="4" t="s">
        <v>20</v>
      </c>
      <c r="E1" s="4" t="s">
        <v>21</v>
      </c>
      <c r="F1" s="4" t="s">
        <v>22</v>
      </c>
      <c r="G1" s="4" t="s">
        <v>23</v>
      </c>
      <c r="H1" s="4" t="s">
        <v>24</v>
      </c>
    </row>
    <row r="2" customFormat="false" ht="23.85" hidden="false" customHeight="false" outlineLevel="0" collapsed="false">
      <c r="A2" s="5" t="s">
        <v>25</v>
      </c>
      <c r="B2" s="5" t="s">
        <v>26</v>
      </c>
      <c r="C2" s="5" t="s">
        <v>27</v>
      </c>
      <c r="D2" s="5" t="s">
        <v>28</v>
      </c>
      <c r="E2" s="5" t="s">
        <v>29</v>
      </c>
      <c r="F2" s="5" t="s">
        <v>30</v>
      </c>
      <c r="G2" s="5" t="s">
        <v>31</v>
      </c>
      <c r="H2" s="5"/>
    </row>
    <row r="3" customFormat="false" ht="35.05" hidden="false" customHeight="false" outlineLevel="0" collapsed="false">
      <c r="A3" s="5" t="s">
        <v>32</v>
      </c>
      <c r="B3" s="5" t="s">
        <v>26</v>
      </c>
      <c r="C3" s="5" t="s">
        <v>27</v>
      </c>
      <c r="D3" s="5" t="s">
        <v>33</v>
      </c>
      <c r="E3" s="5" t="s">
        <v>34</v>
      </c>
      <c r="F3" s="5" t="s">
        <v>35</v>
      </c>
      <c r="G3" s="5" t="s">
        <v>31</v>
      </c>
      <c r="H3" s="5"/>
    </row>
    <row r="4" customFormat="false" ht="23.85" hidden="false" customHeight="false" outlineLevel="0" collapsed="false">
      <c r="A4" s="5" t="s">
        <v>36</v>
      </c>
      <c r="B4" s="5" t="s">
        <v>26</v>
      </c>
      <c r="C4" s="5" t="s">
        <v>27</v>
      </c>
      <c r="D4" s="5" t="s">
        <v>37</v>
      </c>
      <c r="E4" s="5" t="s">
        <v>38</v>
      </c>
      <c r="F4" s="5" t="s">
        <v>30</v>
      </c>
      <c r="G4" s="5" t="s">
        <v>31</v>
      </c>
      <c r="H4" s="5"/>
    </row>
    <row r="5" customFormat="false" ht="23.85" hidden="false" customHeight="false" outlineLevel="0" collapsed="false">
      <c r="A5" s="5" t="s">
        <v>39</v>
      </c>
      <c r="B5" s="5" t="s">
        <v>26</v>
      </c>
      <c r="C5" s="5" t="s">
        <v>27</v>
      </c>
      <c r="D5" s="5" t="s">
        <v>40</v>
      </c>
      <c r="E5" s="5" t="s">
        <v>41</v>
      </c>
      <c r="F5" s="5" t="s">
        <v>35</v>
      </c>
      <c r="G5" s="5" t="s">
        <v>31</v>
      </c>
      <c r="H5" s="5"/>
    </row>
    <row r="6" customFormat="false" ht="23.85" hidden="false" customHeight="false" outlineLevel="0" collapsed="false">
      <c r="A6" s="5" t="s">
        <v>42</v>
      </c>
      <c r="B6" s="5" t="s">
        <v>26</v>
      </c>
      <c r="C6" s="5" t="s">
        <v>27</v>
      </c>
      <c r="D6" s="5" t="s">
        <v>43</v>
      </c>
      <c r="E6" s="5" t="s">
        <v>44</v>
      </c>
      <c r="F6" s="5" t="s">
        <v>30</v>
      </c>
      <c r="G6" s="5" t="s">
        <v>31</v>
      </c>
      <c r="H6" s="5"/>
    </row>
    <row r="7" customFormat="false" ht="23.85" hidden="false" customHeight="false" outlineLevel="0" collapsed="false">
      <c r="A7" s="5" t="s">
        <v>45</v>
      </c>
      <c r="B7" s="5" t="s">
        <v>26</v>
      </c>
      <c r="C7" s="5" t="s">
        <v>27</v>
      </c>
      <c r="D7" s="5" t="s">
        <v>46</v>
      </c>
      <c r="E7" s="5" t="s">
        <v>47</v>
      </c>
      <c r="F7" s="5" t="s">
        <v>35</v>
      </c>
      <c r="G7" s="5" t="s">
        <v>31</v>
      </c>
      <c r="H7" s="5"/>
    </row>
    <row r="8" customFormat="false" ht="23.85" hidden="false" customHeight="false" outlineLevel="0" collapsed="false">
      <c r="A8" s="5" t="s">
        <v>48</v>
      </c>
      <c r="B8" s="5" t="s">
        <v>26</v>
      </c>
      <c r="C8" s="5" t="s">
        <v>27</v>
      </c>
      <c r="D8" s="5" t="s">
        <v>49</v>
      </c>
      <c r="E8" s="5" t="s">
        <v>50</v>
      </c>
      <c r="F8" s="5" t="s">
        <v>30</v>
      </c>
      <c r="G8" s="5" t="s">
        <v>31</v>
      </c>
      <c r="H8" s="5"/>
    </row>
    <row r="9" customFormat="false" ht="23.85" hidden="false" customHeight="false" outlineLevel="0" collapsed="false">
      <c r="A9" s="5" t="s">
        <v>51</v>
      </c>
      <c r="B9" s="5" t="s">
        <v>26</v>
      </c>
      <c r="C9" s="5" t="s">
        <v>27</v>
      </c>
      <c r="D9" s="5" t="s">
        <v>52</v>
      </c>
      <c r="E9" s="5" t="s">
        <v>53</v>
      </c>
      <c r="F9" s="5" t="s">
        <v>30</v>
      </c>
      <c r="G9" s="5" t="s">
        <v>31</v>
      </c>
      <c r="H9" s="5"/>
    </row>
    <row r="10" customFormat="false" ht="23.85" hidden="false" customHeight="false" outlineLevel="0" collapsed="false">
      <c r="A10" s="5" t="s">
        <v>54</v>
      </c>
      <c r="B10" s="5" t="s">
        <v>26</v>
      </c>
      <c r="C10" s="5" t="s">
        <v>27</v>
      </c>
      <c r="D10" s="5" t="s">
        <v>55</v>
      </c>
      <c r="E10" s="5" t="s">
        <v>56</v>
      </c>
      <c r="F10" s="5" t="s">
        <v>30</v>
      </c>
      <c r="G10" s="5" t="s">
        <v>31</v>
      </c>
      <c r="H10" s="5"/>
    </row>
    <row r="11" customFormat="false" ht="23.85" hidden="false" customHeight="false" outlineLevel="0" collapsed="false">
      <c r="A11" s="5" t="s">
        <v>57</v>
      </c>
      <c r="B11" s="5" t="s">
        <v>26</v>
      </c>
      <c r="C11" s="5" t="s">
        <v>27</v>
      </c>
      <c r="D11" s="5" t="s">
        <v>58</v>
      </c>
      <c r="E11" s="5" t="s">
        <v>59</v>
      </c>
      <c r="F11" s="5" t="s">
        <v>35</v>
      </c>
      <c r="G11" s="5" t="s">
        <v>31</v>
      </c>
      <c r="H11" s="5"/>
    </row>
    <row r="12" customFormat="false" ht="35.05" hidden="false" customHeight="false" outlineLevel="0" collapsed="false">
      <c r="A12" s="5" t="s">
        <v>60</v>
      </c>
      <c r="B12" s="5" t="s">
        <v>26</v>
      </c>
      <c r="C12" s="5" t="s">
        <v>27</v>
      </c>
      <c r="D12" s="5" t="s">
        <v>61</v>
      </c>
      <c r="E12" s="5" t="s">
        <v>62</v>
      </c>
      <c r="F12" s="5" t="s">
        <v>30</v>
      </c>
      <c r="G12" s="5" t="s">
        <v>31</v>
      </c>
      <c r="H12" s="5"/>
    </row>
    <row r="13" customFormat="false" ht="23.85" hidden="false" customHeight="false" outlineLevel="0" collapsed="false">
      <c r="A13" s="5" t="s">
        <v>63</v>
      </c>
      <c r="B13" s="5" t="s">
        <v>26</v>
      </c>
      <c r="C13" s="5" t="s">
        <v>27</v>
      </c>
      <c r="D13" s="5" t="s">
        <v>64</v>
      </c>
      <c r="E13" s="5" t="s">
        <v>65</v>
      </c>
      <c r="F13" s="5" t="s">
        <v>30</v>
      </c>
      <c r="G13" s="5" t="s">
        <v>31</v>
      </c>
      <c r="H13" s="5"/>
    </row>
    <row r="14" customFormat="false" ht="23.85" hidden="false" customHeight="false" outlineLevel="0" collapsed="false">
      <c r="A14" s="5" t="s">
        <v>66</v>
      </c>
      <c r="B14" s="5" t="s">
        <v>26</v>
      </c>
      <c r="C14" s="5" t="s">
        <v>27</v>
      </c>
      <c r="D14" s="5" t="s">
        <v>67</v>
      </c>
      <c r="E14" s="5" t="s">
        <v>68</v>
      </c>
      <c r="F14" s="5" t="s">
        <v>35</v>
      </c>
      <c r="G14" s="5" t="s">
        <v>31</v>
      </c>
      <c r="H14" s="5"/>
    </row>
    <row r="15" customFormat="false" ht="23.85" hidden="false" customHeight="false" outlineLevel="0" collapsed="false">
      <c r="A15" s="5" t="s">
        <v>69</v>
      </c>
      <c r="B15" s="5" t="s">
        <v>26</v>
      </c>
      <c r="C15" s="5" t="s">
        <v>27</v>
      </c>
      <c r="D15" s="5" t="s">
        <v>70</v>
      </c>
      <c r="E15" s="5" t="s">
        <v>71</v>
      </c>
      <c r="F15" s="5" t="s">
        <v>30</v>
      </c>
      <c r="G15" s="5" t="s">
        <v>31</v>
      </c>
      <c r="H15" s="5"/>
    </row>
    <row r="16" customFormat="false" ht="23.85" hidden="false" customHeight="false" outlineLevel="0" collapsed="false">
      <c r="A16" s="5" t="s">
        <v>72</v>
      </c>
      <c r="B16" s="5" t="s">
        <v>26</v>
      </c>
      <c r="C16" s="5" t="s">
        <v>27</v>
      </c>
      <c r="D16" s="5" t="s">
        <v>73</v>
      </c>
      <c r="E16" s="5" t="s">
        <v>74</v>
      </c>
      <c r="F16" s="5" t="s">
        <v>35</v>
      </c>
      <c r="G16" s="5" t="s">
        <v>31</v>
      </c>
      <c r="H16" s="5"/>
    </row>
    <row r="17" customFormat="false" ht="23.85" hidden="false" customHeight="false" outlineLevel="0" collapsed="false">
      <c r="A17" s="5" t="s">
        <v>75</v>
      </c>
      <c r="B17" s="5" t="s">
        <v>26</v>
      </c>
      <c r="C17" s="5" t="s">
        <v>76</v>
      </c>
      <c r="D17" s="5" t="s">
        <v>77</v>
      </c>
      <c r="E17" s="5" t="s">
        <v>78</v>
      </c>
      <c r="F17" s="5" t="s">
        <v>35</v>
      </c>
      <c r="G17" s="5" t="s">
        <v>31</v>
      </c>
      <c r="H17" s="5"/>
    </row>
    <row r="18" customFormat="false" ht="15" hidden="false" customHeight="false" outlineLevel="0" collapsed="false">
      <c r="A18" s="5" t="s">
        <v>79</v>
      </c>
      <c r="B18" s="5" t="s">
        <v>26</v>
      </c>
      <c r="C18" s="5" t="s">
        <v>76</v>
      </c>
      <c r="D18" s="5" t="s">
        <v>80</v>
      </c>
      <c r="E18" s="5" t="s">
        <v>81</v>
      </c>
      <c r="F18" s="5" t="s">
        <v>35</v>
      </c>
      <c r="G18" s="5" t="s">
        <v>31</v>
      </c>
      <c r="H18" s="5"/>
    </row>
    <row r="19" customFormat="false" ht="15" hidden="false" customHeight="false" outlineLevel="0" collapsed="false">
      <c r="A19" s="5" t="s">
        <v>82</v>
      </c>
      <c r="B19" s="5" t="s">
        <v>26</v>
      </c>
      <c r="C19" s="5" t="s">
        <v>76</v>
      </c>
      <c r="D19" s="5" t="s">
        <v>83</v>
      </c>
      <c r="E19" s="5" t="s">
        <v>84</v>
      </c>
      <c r="F19" s="5" t="s">
        <v>35</v>
      </c>
      <c r="G19" s="5" t="s">
        <v>31</v>
      </c>
      <c r="H19" s="5"/>
    </row>
    <row r="20" customFormat="false" ht="15" hidden="false" customHeight="false" outlineLevel="0" collapsed="false">
      <c r="A20" s="5" t="s">
        <v>85</v>
      </c>
      <c r="B20" s="5" t="s">
        <v>26</v>
      </c>
      <c r="C20" s="5" t="s">
        <v>76</v>
      </c>
      <c r="D20" s="5" t="s">
        <v>86</v>
      </c>
      <c r="E20" s="5" t="s">
        <v>87</v>
      </c>
      <c r="F20" s="5" t="s">
        <v>35</v>
      </c>
      <c r="G20" s="5" t="s">
        <v>31</v>
      </c>
      <c r="H20" s="5"/>
    </row>
    <row r="21" customFormat="false" ht="15" hidden="false" customHeight="false" outlineLevel="0" collapsed="false">
      <c r="A21" s="5" t="s">
        <v>88</v>
      </c>
      <c r="B21" s="5" t="s">
        <v>26</v>
      </c>
      <c r="C21" s="5" t="s">
        <v>76</v>
      </c>
      <c r="D21" s="5" t="s">
        <v>89</v>
      </c>
      <c r="E21" s="5" t="s">
        <v>90</v>
      </c>
      <c r="F21" s="5" t="s">
        <v>35</v>
      </c>
      <c r="G21" s="5" t="s">
        <v>31</v>
      </c>
      <c r="H21" s="5"/>
    </row>
    <row r="22" customFormat="false" ht="23.85" hidden="false" customHeight="false" outlineLevel="0" collapsed="false">
      <c r="A22" s="5" t="s">
        <v>91</v>
      </c>
      <c r="B22" s="5" t="s">
        <v>26</v>
      </c>
      <c r="C22" s="5" t="s">
        <v>76</v>
      </c>
      <c r="D22" s="5" t="s">
        <v>92</v>
      </c>
      <c r="E22" s="5" t="s">
        <v>93</v>
      </c>
      <c r="F22" s="5" t="s">
        <v>35</v>
      </c>
      <c r="G22" s="5" t="s">
        <v>31</v>
      </c>
      <c r="H22" s="5"/>
    </row>
    <row r="23" customFormat="false" ht="23.85" hidden="false" customHeight="false" outlineLevel="0" collapsed="false">
      <c r="A23" s="5" t="s">
        <v>94</v>
      </c>
      <c r="B23" s="5" t="s">
        <v>26</v>
      </c>
      <c r="C23" s="5" t="s">
        <v>76</v>
      </c>
      <c r="D23" s="5" t="s">
        <v>95</v>
      </c>
      <c r="E23" s="5" t="s">
        <v>96</v>
      </c>
      <c r="F23" s="5" t="s">
        <v>35</v>
      </c>
      <c r="G23" s="5" t="s">
        <v>31</v>
      </c>
      <c r="H23" s="5"/>
    </row>
    <row r="24" customFormat="false" ht="15" hidden="false" customHeight="false" outlineLevel="0" collapsed="false">
      <c r="A24" s="5" t="s">
        <v>97</v>
      </c>
      <c r="B24" s="5" t="s">
        <v>26</v>
      </c>
      <c r="C24" s="5" t="s">
        <v>76</v>
      </c>
      <c r="D24" s="5" t="s">
        <v>98</v>
      </c>
      <c r="E24" s="5" t="s">
        <v>99</v>
      </c>
      <c r="F24" s="5" t="s">
        <v>30</v>
      </c>
      <c r="G24" s="5" t="s">
        <v>31</v>
      </c>
      <c r="H24" s="5"/>
    </row>
    <row r="25" customFormat="false" ht="23.85" hidden="false" customHeight="false" outlineLevel="0" collapsed="false">
      <c r="A25" s="5" t="s">
        <v>100</v>
      </c>
      <c r="B25" s="5" t="s">
        <v>26</v>
      </c>
      <c r="C25" s="5" t="s">
        <v>101</v>
      </c>
      <c r="D25" s="5" t="s">
        <v>102</v>
      </c>
      <c r="E25" s="5" t="s">
        <v>103</v>
      </c>
      <c r="F25" s="5" t="s">
        <v>30</v>
      </c>
      <c r="G25" s="5" t="s">
        <v>31</v>
      </c>
      <c r="H25" s="5"/>
    </row>
    <row r="26" customFormat="false" ht="23.85" hidden="false" customHeight="false" outlineLevel="0" collapsed="false">
      <c r="A26" s="5" t="s">
        <v>104</v>
      </c>
      <c r="B26" s="5" t="s">
        <v>26</v>
      </c>
      <c r="C26" s="5" t="s">
        <v>101</v>
      </c>
      <c r="D26" s="5" t="s">
        <v>105</v>
      </c>
      <c r="E26" s="5" t="s">
        <v>106</v>
      </c>
      <c r="F26" s="5" t="s">
        <v>30</v>
      </c>
      <c r="G26" s="5" t="s">
        <v>31</v>
      </c>
      <c r="H26" s="5"/>
    </row>
    <row r="27" customFormat="false" ht="23.85" hidden="false" customHeight="false" outlineLevel="0" collapsed="false">
      <c r="A27" s="5" t="s">
        <v>107</v>
      </c>
      <c r="B27" s="5" t="s">
        <v>26</v>
      </c>
      <c r="C27" s="5" t="s">
        <v>101</v>
      </c>
      <c r="D27" s="5" t="s">
        <v>108</v>
      </c>
      <c r="E27" s="5" t="s">
        <v>109</v>
      </c>
      <c r="F27" s="5" t="s">
        <v>30</v>
      </c>
      <c r="G27" s="5" t="s">
        <v>31</v>
      </c>
      <c r="H27" s="5"/>
    </row>
    <row r="28" customFormat="false" ht="23.85" hidden="false" customHeight="false" outlineLevel="0" collapsed="false">
      <c r="A28" s="5" t="s">
        <v>110</v>
      </c>
      <c r="B28" s="5" t="s">
        <v>26</v>
      </c>
      <c r="C28" s="5" t="s">
        <v>101</v>
      </c>
      <c r="D28" s="5" t="s">
        <v>111</v>
      </c>
      <c r="E28" s="5" t="s">
        <v>112</v>
      </c>
      <c r="F28" s="5" t="s">
        <v>30</v>
      </c>
      <c r="G28" s="5" t="s">
        <v>31</v>
      </c>
      <c r="H28" s="5"/>
    </row>
    <row r="29" customFormat="false" ht="23.85" hidden="false" customHeight="false" outlineLevel="0" collapsed="false">
      <c r="A29" s="5" t="s">
        <v>113</v>
      </c>
      <c r="B29" s="5" t="s">
        <v>26</v>
      </c>
      <c r="C29" s="5" t="s">
        <v>101</v>
      </c>
      <c r="D29" s="5" t="s">
        <v>114</v>
      </c>
      <c r="E29" s="5" t="s">
        <v>115</v>
      </c>
      <c r="F29" s="5" t="s">
        <v>30</v>
      </c>
      <c r="G29" s="5" t="s">
        <v>31</v>
      </c>
      <c r="H29" s="5"/>
    </row>
    <row r="30" customFormat="false" ht="23.85" hidden="false" customHeight="false" outlineLevel="0" collapsed="false">
      <c r="A30" s="5" t="s">
        <v>116</v>
      </c>
      <c r="B30" s="5" t="s">
        <v>26</v>
      </c>
      <c r="C30" s="5" t="s">
        <v>101</v>
      </c>
      <c r="D30" s="5" t="s">
        <v>117</v>
      </c>
      <c r="E30" s="5" t="s">
        <v>118</v>
      </c>
      <c r="F30" s="5" t="s">
        <v>30</v>
      </c>
      <c r="G30" s="5" t="s">
        <v>31</v>
      </c>
      <c r="H30" s="5"/>
    </row>
    <row r="31" customFormat="false" ht="23.85" hidden="false" customHeight="false" outlineLevel="0" collapsed="false">
      <c r="A31" s="5" t="s">
        <v>119</v>
      </c>
      <c r="B31" s="5" t="s">
        <v>26</v>
      </c>
      <c r="C31" s="5" t="s">
        <v>101</v>
      </c>
      <c r="D31" s="5" t="s">
        <v>120</v>
      </c>
      <c r="E31" s="5" t="s">
        <v>121</v>
      </c>
      <c r="F31" s="5" t="s">
        <v>30</v>
      </c>
      <c r="G31" s="5" t="s">
        <v>31</v>
      </c>
      <c r="H31" s="5"/>
    </row>
    <row r="32" customFormat="false" ht="23.85" hidden="false" customHeight="false" outlineLevel="0" collapsed="false">
      <c r="A32" s="5" t="s">
        <v>122</v>
      </c>
      <c r="B32" s="5" t="s">
        <v>26</v>
      </c>
      <c r="C32" s="5" t="s">
        <v>101</v>
      </c>
      <c r="D32" s="5" t="s">
        <v>123</v>
      </c>
      <c r="E32" s="5" t="s">
        <v>124</v>
      </c>
      <c r="F32" s="5" t="s">
        <v>30</v>
      </c>
      <c r="G32" s="5" t="s">
        <v>31</v>
      </c>
      <c r="H32" s="5"/>
    </row>
    <row r="33" customFormat="false" ht="23.85" hidden="false" customHeight="false" outlineLevel="0" collapsed="false">
      <c r="A33" s="5" t="s">
        <v>125</v>
      </c>
      <c r="B33" s="5" t="s">
        <v>26</v>
      </c>
      <c r="C33" s="5" t="s">
        <v>101</v>
      </c>
      <c r="D33" s="5" t="s">
        <v>126</v>
      </c>
      <c r="E33" s="5" t="s">
        <v>127</v>
      </c>
      <c r="F33" s="5" t="s">
        <v>30</v>
      </c>
      <c r="G33" s="5" t="s">
        <v>31</v>
      </c>
      <c r="H33" s="5"/>
    </row>
    <row r="34" customFormat="false" ht="15" hidden="false" customHeight="false" outlineLevel="0" collapsed="false">
      <c r="A34" s="5" t="s">
        <v>128</v>
      </c>
      <c r="B34" s="5" t="s">
        <v>26</v>
      </c>
      <c r="C34" s="5" t="s">
        <v>101</v>
      </c>
      <c r="D34" s="5" t="s">
        <v>129</v>
      </c>
      <c r="E34" s="5" t="s">
        <v>130</v>
      </c>
      <c r="F34" s="5" t="s">
        <v>30</v>
      </c>
      <c r="G34" s="5" t="s">
        <v>31</v>
      </c>
      <c r="H34" s="5"/>
    </row>
    <row r="35" customFormat="false" ht="23.85" hidden="false" customHeight="false" outlineLevel="0" collapsed="false">
      <c r="A35" s="5" t="s">
        <v>131</v>
      </c>
      <c r="B35" s="5" t="s">
        <v>26</v>
      </c>
      <c r="C35" s="5" t="s">
        <v>101</v>
      </c>
      <c r="D35" s="5" t="s">
        <v>132</v>
      </c>
      <c r="E35" s="5" t="s">
        <v>133</v>
      </c>
      <c r="F35" s="5" t="s">
        <v>30</v>
      </c>
      <c r="G35" s="5" t="s">
        <v>31</v>
      </c>
      <c r="H35" s="5"/>
    </row>
    <row r="36" customFormat="false" ht="23.85" hidden="false" customHeight="false" outlineLevel="0" collapsed="false">
      <c r="A36" s="5" t="s">
        <v>134</v>
      </c>
      <c r="B36" s="5" t="s">
        <v>26</v>
      </c>
      <c r="C36" s="5" t="s">
        <v>101</v>
      </c>
      <c r="D36" s="5" t="s">
        <v>135</v>
      </c>
      <c r="E36" s="5" t="s">
        <v>136</v>
      </c>
      <c r="F36" s="5" t="s">
        <v>30</v>
      </c>
      <c r="G36" s="5" t="s">
        <v>31</v>
      </c>
      <c r="H36" s="5"/>
    </row>
    <row r="37" customFormat="false" ht="23.85" hidden="false" customHeight="false" outlineLevel="0" collapsed="false">
      <c r="A37" s="5" t="s">
        <v>137</v>
      </c>
      <c r="B37" s="5" t="s">
        <v>26</v>
      </c>
      <c r="C37" s="5" t="s">
        <v>101</v>
      </c>
      <c r="D37" s="5" t="s">
        <v>138</v>
      </c>
      <c r="E37" s="5" t="s">
        <v>139</v>
      </c>
      <c r="F37" s="5" t="s">
        <v>30</v>
      </c>
      <c r="G37" s="5" t="s">
        <v>31</v>
      </c>
      <c r="H37" s="5"/>
    </row>
    <row r="38" customFormat="false" ht="23.85" hidden="false" customHeight="false" outlineLevel="0" collapsed="false">
      <c r="A38" s="5" t="s">
        <v>140</v>
      </c>
      <c r="B38" s="5" t="s">
        <v>26</v>
      </c>
      <c r="C38" s="5" t="s">
        <v>101</v>
      </c>
      <c r="D38" s="5" t="s">
        <v>141</v>
      </c>
      <c r="E38" s="5" t="s">
        <v>142</v>
      </c>
      <c r="F38" s="5" t="s">
        <v>30</v>
      </c>
      <c r="G38" s="5" t="s">
        <v>31</v>
      </c>
      <c r="H38" s="5"/>
    </row>
    <row r="39" customFormat="false" ht="23.85" hidden="false" customHeight="false" outlineLevel="0" collapsed="false">
      <c r="A39" s="5" t="s">
        <v>143</v>
      </c>
      <c r="B39" s="5" t="s">
        <v>26</v>
      </c>
      <c r="C39" s="5" t="s">
        <v>101</v>
      </c>
      <c r="D39" s="5" t="s">
        <v>144</v>
      </c>
      <c r="E39" s="5" t="s">
        <v>145</v>
      </c>
      <c r="F39" s="5" t="s">
        <v>30</v>
      </c>
      <c r="G39" s="5" t="s">
        <v>31</v>
      </c>
      <c r="H39" s="5"/>
    </row>
    <row r="40" customFormat="false" ht="15" hidden="false" customHeight="false" outlineLevel="0" collapsed="false">
      <c r="A40" s="5" t="s">
        <v>146</v>
      </c>
      <c r="B40" s="5" t="s">
        <v>26</v>
      </c>
      <c r="C40" s="5" t="s">
        <v>101</v>
      </c>
      <c r="D40" s="5" t="s">
        <v>147</v>
      </c>
      <c r="E40" s="5" t="s">
        <v>148</v>
      </c>
      <c r="F40" s="5" t="s">
        <v>35</v>
      </c>
      <c r="G40" s="5" t="s">
        <v>31</v>
      </c>
      <c r="H40" s="5"/>
    </row>
    <row r="41" customFormat="false" ht="23.85" hidden="false" customHeight="false" outlineLevel="0" collapsed="false">
      <c r="A41" s="5" t="s">
        <v>149</v>
      </c>
      <c r="B41" s="5" t="s">
        <v>150</v>
      </c>
      <c r="C41" s="5" t="s">
        <v>27</v>
      </c>
      <c r="D41" s="5" t="s">
        <v>151</v>
      </c>
      <c r="E41" s="5" t="s">
        <v>152</v>
      </c>
      <c r="F41" s="5" t="s">
        <v>35</v>
      </c>
      <c r="G41" s="5" t="s">
        <v>153</v>
      </c>
      <c r="H41" s="5"/>
    </row>
    <row r="42" customFormat="false" ht="23.85" hidden="false" customHeight="false" outlineLevel="0" collapsed="false">
      <c r="A42" s="5" t="s">
        <v>154</v>
      </c>
      <c r="B42" s="5" t="s">
        <v>150</v>
      </c>
      <c r="C42" s="5" t="s">
        <v>27</v>
      </c>
      <c r="D42" s="5" t="s">
        <v>155</v>
      </c>
      <c r="E42" s="5" t="s">
        <v>156</v>
      </c>
      <c r="F42" s="5" t="s">
        <v>35</v>
      </c>
      <c r="G42" s="5" t="s">
        <v>153</v>
      </c>
      <c r="H42" s="5"/>
    </row>
    <row r="43" customFormat="false" ht="23.85" hidden="false" customHeight="false" outlineLevel="0" collapsed="false">
      <c r="A43" s="5" t="s">
        <v>157</v>
      </c>
      <c r="B43" s="5" t="s">
        <v>150</v>
      </c>
      <c r="C43" s="5" t="s">
        <v>27</v>
      </c>
      <c r="D43" s="5" t="s">
        <v>158</v>
      </c>
      <c r="E43" s="5" t="s">
        <v>159</v>
      </c>
      <c r="F43" s="5" t="s">
        <v>30</v>
      </c>
      <c r="G43" s="5" t="s">
        <v>153</v>
      </c>
      <c r="H43" s="5"/>
    </row>
    <row r="44" customFormat="false" ht="23.85" hidden="false" customHeight="false" outlineLevel="0" collapsed="false">
      <c r="A44" s="5" t="s">
        <v>160</v>
      </c>
      <c r="B44" s="5" t="s">
        <v>150</v>
      </c>
      <c r="C44" s="5" t="s">
        <v>27</v>
      </c>
      <c r="D44" s="5" t="s">
        <v>161</v>
      </c>
      <c r="E44" s="5" t="s">
        <v>162</v>
      </c>
      <c r="F44" s="5" t="s">
        <v>35</v>
      </c>
      <c r="G44" s="5" t="s">
        <v>153</v>
      </c>
      <c r="H44" s="5"/>
    </row>
    <row r="45" customFormat="false" ht="23.85" hidden="false" customHeight="false" outlineLevel="0" collapsed="false">
      <c r="A45" s="5" t="s">
        <v>163</v>
      </c>
      <c r="B45" s="5" t="s">
        <v>150</v>
      </c>
      <c r="C45" s="5" t="s">
        <v>27</v>
      </c>
      <c r="D45" s="5" t="s">
        <v>164</v>
      </c>
      <c r="E45" s="5" t="s">
        <v>165</v>
      </c>
      <c r="F45" s="5" t="s">
        <v>30</v>
      </c>
      <c r="G45" s="5" t="s">
        <v>153</v>
      </c>
      <c r="H45" s="5"/>
    </row>
    <row r="46" customFormat="false" ht="23.85" hidden="false" customHeight="false" outlineLevel="0" collapsed="false">
      <c r="A46" s="5" t="s">
        <v>166</v>
      </c>
      <c r="B46" s="5" t="s">
        <v>150</v>
      </c>
      <c r="C46" s="5" t="s">
        <v>27</v>
      </c>
      <c r="D46" s="5" t="s">
        <v>167</v>
      </c>
      <c r="E46" s="5" t="s">
        <v>168</v>
      </c>
      <c r="F46" s="5" t="s">
        <v>35</v>
      </c>
      <c r="G46" s="5" t="s">
        <v>153</v>
      </c>
      <c r="H46" s="5"/>
    </row>
    <row r="47" customFormat="false" ht="23.85" hidden="false" customHeight="false" outlineLevel="0" collapsed="false">
      <c r="A47" s="5" t="s">
        <v>169</v>
      </c>
      <c r="B47" s="5" t="s">
        <v>150</v>
      </c>
      <c r="C47" s="5" t="s">
        <v>27</v>
      </c>
      <c r="D47" s="5" t="s">
        <v>170</v>
      </c>
      <c r="E47" s="5" t="s">
        <v>171</v>
      </c>
      <c r="F47" s="5" t="s">
        <v>30</v>
      </c>
      <c r="G47" s="5" t="s">
        <v>153</v>
      </c>
      <c r="H47" s="5"/>
    </row>
    <row r="48" customFormat="false" ht="23.85" hidden="false" customHeight="false" outlineLevel="0" collapsed="false">
      <c r="A48" s="5" t="s">
        <v>172</v>
      </c>
      <c r="B48" s="5" t="s">
        <v>150</v>
      </c>
      <c r="C48" s="5" t="s">
        <v>27</v>
      </c>
      <c r="D48" s="5" t="s">
        <v>173</v>
      </c>
      <c r="E48" s="5" t="s">
        <v>174</v>
      </c>
      <c r="F48" s="5" t="s">
        <v>35</v>
      </c>
      <c r="G48" s="5" t="s">
        <v>153</v>
      </c>
      <c r="H48" s="5"/>
    </row>
    <row r="49" customFormat="false" ht="23.85" hidden="false" customHeight="false" outlineLevel="0" collapsed="false">
      <c r="A49" s="5" t="s">
        <v>175</v>
      </c>
      <c r="B49" s="5" t="s">
        <v>150</v>
      </c>
      <c r="C49" s="5" t="s">
        <v>27</v>
      </c>
      <c r="D49" s="5" t="s">
        <v>176</v>
      </c>
      <c r="E49" s="5" t="s">
        <v>177</v>
      </c>
      <c r="F49" s="5" t="s">
        <v>35</v>
      </c>
      <c r="G49" s="5" t="s">
        <v>153</v>
      </c>
      <c r="H49" s="5"/>
    </row>
    <row r="50" customFormat="false" ht="23.85" hidden="false" customHeight="false" outlineLevel="0" collapsed="false">
      <c r="A50" s="5" t="s">
        <v>178</v>
      </c>
      <c r="B50" s="5" t="s">
        <v>150</v>
      </c>
      <c r="C50" s="5" t="s">
        <v>27</v>
      </c>
      <c r="D50" s="5" t="s">
        <v>179</v>
      </c>
      <c r="E50" s="5" t="s">
        <v>180</v>
      </c>
      <c r="F50" s="5" t="s">
        <v>30</v>
      </c>
      <c r="G50" s="5" t="s">
        <v>153</v>
      </c>
      <c r="H50" s="5"/>
    </row>
    <row r="51" customFormat="false" ht="23.85" hidden="false" customHeight="false" outlineLevel="0" collapsed="false">
      <c r="A51" s="5" t="s">
        <v>181</v>
      </c>
      <c r="B51" s="5" t="s">
        <v>150</v>
      </c>
      <c r="C51" s="5" t="s">
        <v>27</v>
      </c>
      <c r="D51" s="5" t="s">
        <v>182</v>
      </c>
      <c r="E51" s="5" t="s">
        <v>183</v>
      </c>
      <c r="F51" s="5" t="s">
        <v>35</v>
      </c>
      <c r="G51" s="5" t="s">
        <v>153</v>
      </c>
      <c r="H51" s="5"/>
    </row>
    <row r="52" customFormat="false" ht="23.85" hidden="false" customHeight="false" outlineLevel="0" collapsed="false">
      <c r="A52" s="5" t="s">
        <v>184</v>
      </c>
      <c r="B52" s="5" t="s">
        <v>150</v>
      </c>
      <c r="C52" s="5" t="s">
        <v>27</v>
      </c>
      <c r="D52" s="5" t="s">
        <v>185</v>
      </c>
      <c r="E52" s="5" t="s">
        <v>186</v>
      </c>
      <c r="F52" s="5" t="s">
        <v>35</v>
      </c>
      <c r="G52" s="5" t="s">
        <v>153</v>
      </c>
      <c r="H52" s="5"/>
    </row>
    <row r="53" customFormat="false" ht="23.85" hidden="false" customHeight="false" outlineLevel="0" collapsed="false">
      <c r="A53" s="5" t="s">
        <v>187</v>
      </c>
      <c r="B53" s="5" t="s">
        <v>150</v>
      </c>
      <c r="C53" s="5" t="s">
        <v>27</v>
      </c>
      <c r="D53" s="5" t="s">
        <v>188</v>
      </c>
      <c r="E53" s="5" t="s">
        <v>189</v>
      </c>
      <c r="F53" s="5" t="s">
        <v>30</v>
      </c>
      <c r="G53" s="5" t="s">
        <v>153</v>
      </c>
      <c r="H53" s="5"/>
    </row>
    <row r="54" customFormat="false" ht="23.85" hidden="false" customHeight="false" outlineLevel="0" collapsed="false">
      <c r="A54" s="5" t="s">
        <v>190</v>
      </c>
      <c r="B54" s="5" t="s">
        <v>150</v>
      </c>
      <c r="C54" s="5" t="s">
        <v>27</v>
      </c>
      <c r="D54" s="5" t="s">
        <v>191</v>
      </c>
      <c r="E54" s="5" t="s">
        <v>192</v>
      </c>
      <c r="F54" s="5" t="s">
        <v>35</v>
      </c>
      <c r="G54" s="5" t="s">
        <v>153</v>
      </c>
      <c r="H54" s="5"/>
    </row>
    <row r="55" customFormat="false" ht="23.85" hidden="false" customHeight="false" outlineLevel="0" collapsed="false">
      <c r="A55" s="5" t="s">
        <v>193</v>
      </c>
      <c r="B55" s="5" t="s">
        <v>150</v>
      </c>
      <c r="C55" s="5" t="s">
        <v>27</v>
      </c>
      <c r="D55" s="5" t="s">
        <v>194</v>
      </c>
      <c r="E55" s="5" t="s">
        <v>195</v>
      </c>
      <c r="F55" s="5" t="s">
        <v>35</v>
      </c>
      <c r="G55" s="5" t="s">
        <v>153</v>
      </c>
      <c r="H55" s="5"/>
    </row>
    <row r="56" customFormat="false" ht="23.85" hidden="false" customHeight="false" outlineLevel="0" collapsed="false">
      <c r="A56" s="5" t="s">
        <v>196</v>
      </c>
      <c r="B56" s="5" t="s">
        <v>150</v>
      </c>
      <c r="C56" s="5" t="s">
        <v>27</v>
      </c>
      <c r="D56" s="5" t="s">
        <v>197</v>
      </c>
      <c r="E56" s="5" t="s">
        <v>198</v>
      </c>
      <c r="F56" s="5" t="s">
        <v>30</v>
      </c>
      <c r="G56" s="5" t="s">
        <v>153</v>
      </c>
      <c r="H56" s="5"/>
    </row>
    <row r="57" customFormat="false" ht="23.85" hidden="false" customHeight="false" outlineLevel="0" collapsed="false">
      <c r="A57" s="5" t="s">
        <v>199</v>
      </c>
      <c r="B57" s="5" t="s">
        <v>150</v>
      </c>
      <c r="C57" s="5" t="s">
        <v>27</v>
      </c>
      <c r="D57" s="5" t="s">
        <v>200</v>
      </c>
      <c r="E57" s="5" t="s">
        <v>201</v>
      </c>
      <c r="F57" s="5" t="s">
        <v>35</v>
      </c>
      <c r="G57" s="5" t="s">
        <v>153</v>
      </c>
      <c r="H57" s="5"/>
    </row>
    <row r="58" customFormat="false" ht="23.85" hidden="false" customHeight="false" outlineLevel="0" collapsed="false">
      <c r="A58" s="5" t="s">
        <v>202</v>
      </c>
      <c r="B58" s="5" t="s">
        <v>150</v>
      </c>
      <c r="C58" s="5" t="s">
        <v>27</v>
      </c>
      <c r="D58" s="5" t="s">
        <v>203</v>
      </c>
      <c r="E58" s="5" t="s">
        <v>204</v>
      </c>
      <c r="F58" s="5" t="s">
        <v>35</v>
      </c>
      <c r="G58" s="5" t="s">
        <v>205</v>
      </c>
      <c r="H58" s="5"/>
    </row>
    <row r="59" customFormat="false" ht="23.85" hidden="false" customHeight="false" outlineLevel="0" collapsed="false">
      <c r="A59" s="5" t="s">
        <v>206</v>
      </c>
      <c r="B59" s="5" t="s">
        <v>150</v>
      </c>
      <c r="C59" s="5" t="s">
        <v>27</v>
      </c>
      <c r="D59" s="5" t="s">
        <v>207</v>
      </c>
      <c r="E59" s="5" t="s">
        <v>208</v>
      </c>
      <c r="F59" s="5" t="s">
        <v>30</v>
      </c>
      <c r="G59" s="5" t="s">
        <v>205</v>
      </c>
      <c r="H59" s="5"/>
    </row>
    <row r="60" customFormat="false" ht="23.85" hidden="false" customHeight="false" outlineLevel="0" collapsed="false">
      <c r="A60" s="5" t="s">
        <v>209</v>
      </c>
      <c r="B60" s="5" t="s">
        <v>150</v>
      </c>
      <c r="C60" s="5" t="s">
        <v>27</v>
      </c>
      <c r="D60" s="5" t="s">
        <v>210</v>
      </c>
      <c r="E60" s="5" t="s">
        <v>211</v>
      </c>
      <c r="F60" s="5" t="s">
        <v>30</v>
      </c>
      <c r="G60" s="5" t="s">
        <v>205</v>
      </c>
      <c r="H60" s="5"/>
    </row>
    <row r="61" customFormat="false" ht="23.85" hidden="false" customHeight="false" outlineLevel="0" collapsed="false">
      <c r="A61" s="5" t="s">
        <v>212</v>
      </c>
      <c r="B61" s="5" t="s">
        <v>150</v>
      </c>
      <c r="C61" s="5" t="s">
        <v>27</v>
      </c>
      <c r="D61" s="5" t="s">
        <v>213</v>
      </c>
      <c r="E61" s="5" t="s">
        <v>214</v>
      </c>
      <c r="F61" s="5" t="s">
        <v>35</v>
      </c>
      <c r="G61" s="5" t="s">
        <v>205</v>
      </c>
      <c r="H61" s="5"/>
    </row>
    <row r="62" customFormat="false" ht="23.85" hidden="false" customHeight="false" outlineLevel="0" collapsed="false">
      <c r="A62" s="5" t="s">
        <v>215</v>
      </c>
      <c r="B62" s="5" t="s">
        <v>150</v>
      </c>
      <c r="C62" s="5" t="s">
        <v>27</v>
      </c>
      <c r="D62" s="5" t="s">
        <v>216</v>
      </c>
      <c r="E62" s="5" t="s">
        <v>217</v>
      </c>
      <c r="F62" s="5" t="s">
        <v>35</v>
      </c>
      <c r="G62" s="5" t="s">
        <v>205</v>
      </c>
      <c r="H62" s="5"/>
    </row>
    <row r="63" customFormat="false" ht="23.85" hidden="false" customHeight="false" outlineLevel="0" collapsed="false">
      <c r="A63" s="5" t="s">
        <v>218</v>
      </c>
      <c r="B63" s="5" t="s">
        <v>150</v>
      </c>
      <c r="C63" s="5" t="s">
        <v>27</v>
      </c>
      <c r="D63" s="5" t="s">
        <v>219</v>
      </c>
      <c r="E63" s="5" t="s">
        <v>220</v>
      </c>
      <c r="F63" s="5" t="s">
        <v>35</v>
      </c>
      <c r="G63" s="5" t="s">
        <v>205</v>
      </c>
      <c r="H63" s="5"/>
    </row>
    <row r="64" customFormat="false" ht="23.85" hidden="false" customHeight="false" outlineLevel="0" collapsed="false">
      <c r="A64" s="5" t="s">
        <v>221</v>
      </c>
      <c r="B64" s="5" t="s">
        <v>150</v>
      </c>
      <c r="C64" s="5" t="s">
        <v>27</v>
      </c>
      <c r="D64" s="5" t="s">
        <v>222</v>
      </c>
      <c r="E64" s="5" t="s">
        <v>223</v>
      </c>
      <c r="F64" s="5" t="s">
        <v>30</v>
      </c>
      <c r="G64" s="5" t="s">
        <v>205</v>
      </c>
      <c r="H64" s="5"/>
    </row>
    <row r="65" customFormat="false" ht="23.85" hidden="false" customHeight="false" outlineLevel="0" collapsed="false">
      <c r="A65" s="5" t="s">
        <v>224</v>
      </c>
      <c r="B65" s="5" t="s">
        <v>150</v>
      </c>
      <c r="C65" s="5" t="s">
        <v>27</v>
      </c>
      <c r="D65" s="5" t="s">
        <v>225</v>
      </c>
      <c r="E65" s="5" t="s">
        <v>226</v>
      </c>
      <c r="F65" s="5" t="s">
        <v>35</v>
      </c>
      <c r="G65" s="5" t="s">
        <v>205</v>
      </c>
      <c r="H65" s="5"/>
    </row>
    <row r="66" customFormat="false" ht="23.85" hidden="false" customHeight="false" outlineLevel="0" collapsed="false">
      <c r="A66" s="5" t="s">
        <v>227</v>
      </c>
      <c r="B66" s="5" t="s">
        <v>150</v>
      </c>
      <c r="C66" s="5" t="s">
        <v>76</v>
      </c>
      <c r="D66" s="5" t="s">
        <v>228</v>
      </c>
      <c r="E66" s="5" t="s">
        <v>229</v>
      </c>
      <c r="F66" s="5" t="s">
        <v>35</v>
      </c>
      <c r="G66" s="5" t="s">
        <v>153</v>
      </c>
      <c r="H66" s="5"/>
    </row>
    <row r="67" customFormat="false" ht="15" hidden="false" customHeight="false" outlineLevel="0" collapsed="false">
      <c r="A67" s="5" t="s">
        <v>230</v>
      </c>
      <c r="B67" s="5" t="s">
        <v>150</v>
      </c>
      <c r="C67" s="5" t="s">
        <v>76</v>
      </c>
      <c r="D67" s="5" t="s">
        <v>231</v>
      </c>
      <c r="E67" s="5" t="s">
        <v>232</v>
      </c>
      <c r="F67" s="5" t="s">
        <v>35</v>
      </c>
      <c r="G67" s="5" t="s">
        <v>153</v>
      </c>
      <c r="H67" s="5"/>
    </row>
    <row r="68" customFormat="false" ht="15" hidden="false" customHeight="false" outlineLevel="0" collapsed="false">
      <c r="A68" s="5" t="s">
        <v>233</v>
      </c>
      <c r="B68" s="5" t="s">
        <v>150</v>
      </c>
      <c r="C68" s="5" t="s">
        <v>76</v>
      </c>
      <c r="D68" s="5" t="s">
        <v>234</v>
      </c>
      <c r="E68" s="5" t="s">
        <v>235</v>
      </c>
      <c r="F68" s="5" t="s">
        <v>35</v>
      </c>
      <c r="G68" s="5" t="s">
        <v>153</v>
      </c>
      <c r="H68" s="5"/>
    </row>
    <row r="69" customFormat="false" ht="15" hidden="false" customHeight="false" outlineLevel="0" collapsed="false">
      <c r="A69" s="5" t="s">
        <v>236</v>
      </c>
      <c r="B69" s="5" t="s">
        <v>150</v>
      </c>
      <c r="C69" s="5" t="s">
        <v>76</v>
      </c>
      <c r="D69" s="5" t="s">
        <v>237</v>
      </c>
      <c r="E69" s="5" t="s">
        <v>238</v>
      </c>
      <c r="F69" s="5" t="s">
        <v>35</v>
      </c>
      <c r="G69" s="5" t="s">
        <v>153</v>
      </c>
      <c r="H69" s="5"/>
    </row>
    <row r="70" customFormat="false" ht="15" hidden="false" customHeight="false" outlineLevel="0" collapsed="false">
      <c r="A70" s="5" t="s">
        <v>239</v>
      </c>
      <c r="B70" s="5" t="s">
        <v>150</v>
      </c>
      <c r="C70" s="5" t="s">
        <v>76</v>
      </c>
      <c r="D70" s="5" t="s">
        <v>240</v>
      </c>
      <c r="E70" s="5" t="s">
        <v>241</v>
      </c>
      <c r="F70" s="5" t="s">
        <v>35</v>
      </c>
      <c r="G70" s="5" t="s">
        <v>205</v>
      </c>
      <c r="H70" s="5"/>
    </row>
    <row r="71" customFormat="false" ht="23.85" hidden="false" customHeight="false" outlineLevel="0" collapsed="false">
      <c r="A71" s="5" t="s">
        <v>242</v>
      </c>
      <c r="B71" s="5" t="s">
        <v>150</v>
      </c>
      <c r="C71" s="5" t="s">
        <v>76</v>
      </c>
      <c r="D71" s="5" t="s">
        <v>243</v>
      </c>
      <c r="E71" s="5" t="s">
        <v>244</v>
      </c>
      <c r="F71" s="5" t="s">
        <v>35</v>
      </c>
      <c r="G71" s="5" t="s">
        <v>205</v>
      </c>
      <c r="H71" s="5"/>
    </row>
    <row r="72" customFormat="false" ht="15" hidden="false" customHeight="false" outlineLevel="0" collapsed="false">
      <c r="A72" s="5" t="s">
        <v>245</v>
      </c>
      <c r="B72" s="5" t="s">
        <v>150</v>
      </c>
      <c r="C72" s="5" t="s">
        <v>76</v>
      </c>
      <c r="D72" s="5" t="s">
        <v>246</v>
      </c>
      <c r="E72" s="5" t="s">
        <v>247</v>
      </c>
      <c r="F72" s="5" t="s">
        <v>35</v>
      </c>
      <c r="G72" s="5" t="s">
        <v>205</v>
      </c>
      <c r="H72" s="5"/>
    </row>
    <row r="73" customFormat="false" ht="15" hidden="false" customHeight="false" outlineLevel="0" collapsed="false">
      <c r="A73" s="5" t="s">
        <v>248</v>
      </c>
      <c r="B73" s="5" t="s">
        <v>150</v>
      </c>
      <c r="C73" s="5" t="s">
        <v>76</v>
      </c>
      <c r="D73" s="5" t="s">
        <v>249</v>
      </c>
      <c r="E73" s="5" t="s">
        <v>250</v>
      </c>
      <c r="F73" s="5" t="s">
        <v>35</v>
      </c>
      <c r="G73" s="5" t="s">
        <v>153</v>
      </c>
      <c r="H73" s="5"/>
    </row>
    <row r="74" customFormat="false" ht="15" hidden="false" customHeight="false" outlineLevel="0" collapsed="false">
      <c r="A74" s="5" t="s">
        <v>251</v>
      </c>
      <c r="B74" s="5" t="s">
        <v>150</v>
      </c>
      <c r="C74" s="5" t="s">
        <v>76</v>
      </c>
      <c r="D74" s="5" t="s">
        <v>252</v>
      </c>
      <c r="E74" s="5" t="s">
        <v>253</v>
      </c>
      <c r="F74" s="5" t="s">
        <v>35</v>
      </c>
      <c r="G74" s="5" t="s">
        <v>153</v>
      </c>
      <c r="H74" s="5"/>
    </row>
    <row r="75" customFormat="false" ht="23.85" hidden="false" customHeight="false" outlineLevel="0" collapsed="false">
      <c r="A75" s="5" t="s">
        <v>254</v>
      </c>
      <c r="B75" s="5" t="s">
        <v>150</v>
      </c>
      <c r="C75" s="5" t="s">
        <v>76</v>
      </c>
      <c r="D75" s="5" t="s">
        <v>255</v>
      </c>
      <c r="E75" s="5" t="s">
        <v>256</v>
      </c>
      <c r="F75" s="5" t="s">
        <v>35</v>
      </c>
      <c r="G75" s="5" t="s">
        <v>205</v>
      </c>
      <c r="H75" s="5"/>
    </row>
    <row r="76" customFormat="false" ht="23.85" hidden="false" customHeight="false" outlineLevel="0" collapsed="false">
      <c r="A76" s="5" t="s">
        <v>257</v>
      </c>
      <c r="B76" s="5" t="s">
        <v>258</v>
      </c>
      <c r="C76" s="5" t="s">
        <v>27</v>
      </c>
      <c r="D76" s="5" t="s">
        <v>259</v>
      </c>
      <c r="E76" s="5" t="s">
        <v>260</v>
      </c>
      <c r="F76" s="5" t="s">
        <v>30</v>
      </c>
      <c r="G76" s="5" t="s">
        <v>261</v>
      </c>
      <c r="H76" s="5"/>
    </row>
    <row r="77" customFormat="false" ht="23.85" hidden="false" customHeight="false" outlineLevel="0" collapsed="false">
      <c r="A77" s="5" t="s">
        <v>262</v>
      </c>
      <c r="B77" s="5" t="s">
        <v>258</v>
      </c>
      <c r="C77" s="5" t="s">
        <v>27</v>
      </c>
      <c r="D77" s="5" t="s">
        <v>263</v>
      </c>
      <c r="E77" s="5" t="s">
        <v>264</v>
      </c>
      <c r="F77" s="5" t="s">
        <v>35</v>
      </c>
      <c r="G77" s="5" t="s">
        <v>261</v>
      </c>
      <c r="H77" s="5"/>
    </row>
    <row r="78" customFormat="false" ht="23.85" hidden="false" customHeight="false" outlineLevel="0" collapsed="false">
      <c r="A78" s="5" t="s">
        <v>265</v>
      </c>
      <c r="B78" s="5" t="s">
        <v>258</v>
      </c>
      <c r="C78" s="5" t="s">
        <v>27</v>
      </c>
      <c r="D78" s="5" t="s">
        <v>266</v>
      </c>
      <c r="E78" s="5" t="s">
        <v>267</v>
      </c>
      <c r="F78" s="5" t="s">
        <v>30</v>
      </c>
      <c r="G78" s="5" t="s">
        <v>261</v>
      </c>
      <c r="H78" s="5"/>
    </row>
    <row r="79" customFormat="false" ht="23.85" hidden="false" customHeight="false" outlineLevel="0" collapsed="false">
      <c r="A79" s="5" t="s">
        <v>268</v>
      </c>
      <c r="B79" s="5" t="s">
        <v>258</v>
      </c>
      <c r="C79" s="5" t="s">
        <v>27</v>
      </c>
      <c r="D79" s="5" t="s">
        <v>269</v>
      </c>
      <c r="E79" s="5" t="s">
        <v>270</v>
      </c>
      <c r="F79" s="5" t="s">
        <v>30</v>
      </c>
      <c r="G79" s="5" t="s">
        <v>261</v>
      </c>
      <c r="H79" s="5"/>
    </row>
    <row r="80" customFormat="false" ht="23.85" hidden="false" customHeight="false" outlineLevel="0" collapsed="false">
      <c r="A80" s="5" t="s">
        <v>271</v>
      </c>
      <c r="B80" s="5" t="s">
        <v>258</v>
      </c>
      <c r="C80" s="5" t="s">
        <v>27</v>
      </c>
      <c r="D80" s="5" t="s">
        <v>272</v>
      </c>
      <c r="E80" s="5" t="s">
        <v>273</v>
      </c>
      <c r="F80" s="5" t="s">
        <v>35</v>
      </c>
      <c r="G80" s="5" t="s">
        <v>261</v>
      </c>
      <c r="H80" s="5"/>
    </row>
    <row r="81" customFormat="false" ht="23.85" hidden="false" customHeight="false" outlineLevel="0" collapsed="false">
      <c r="A81" s="5" t="s">
        <v>274</v>
      </c>
      <c r="B81" s="5" t="s">
        <v>258</v>
      </c>
      <c r="C81" s="5" t="s">
        <v>27</v>
      </c>
      <c r="D81" s="5" t="s">
        <v>275</v>
      </c>
      <c r="E81" s="5" t="s">
        <v>276</v>
      </c>
      <c r="F81" s="5" t="s">
        <v>35</v>
      </c>
      <c r="G81" s="5" t="s">
        <v>261</v>
      </c>
      <c r="H81" s="5"/>
    </row>
    <row r="82" customFormat="false" ht="23.85" hidden="false" customHeight="false" outlineLevel="0" collapsed="false">
      <c r="A82" s="5" t="s">
        <v>277</v>
      </c>
      <c r="B82" s="5" t="s">
        <v>258</v>
      </c>
      <c r="C82" s="5" t="s">
        <v>27</v>
      </c>
      <c r="D82" s="5" t="s">
        <v>278</v>
      </c>
      <c r="E82" s="5" t="s">
        <v>279</v>
      </c>
      <c r="F82" s="5" t="s">
        <v>30</v>
      </c>
      <c r="G82" s="5" t="s">
        <v>261</v>
      </c>
      <c r="H82" s="5"/>
    </row>
    <row r="83" customFormat="false" ht="23.85" hidden="false" customHeight="false" outlineLevel="0" collapsed="false">
      <c r="A83" s="5" t="s">
        <v>280</v>
      </c>
      <c r="B83" s="5" t="s">
        <v>258</v>
      </c>
      <c r="C83" s="5" t="s">
        <v>27</v>
      </c>
      <c r="D83" s="5" t="s">
        <v>281</v>
      </c>
      <c r="E83" s="5" t="s">
        <v>282</v>
      </c>
      <c r="F83" s="5" t="s">
        <v>35</v>
      </c>
      <c r="G83" s="5" t="s">
        <v>261</v>
      </c>
      <c r="H83" s="5"/>
    </row>
    <row r="84" customFormat="false" ht="23.85" hidden="false" customHeight="false" outlineLevel="0" collapsed="false">
      <c r="A84" s="5" t="s">
        <v>283</v>
      </c>
      <c r="B84" s="5" t="s">
        <v>258</v>
      </c>
      <c r="C84" s="5" t="s">
        <v>27</v>
      </c>
      <c r="D84" s="5" t="s">
        <v>284</v>
      </c>
      <c r="E84" s="5" t="s">
        <v>285</v>
      </c>
      <c r="F84" s="5" t="s">
        <v>30</v>
      </c>
      <c r="G84" s="5" t="s">
        <v>261</v>
      </c>
      <c r="H84" s="5"/>
    </row>
    <row r="85" customFormat="false" ht="23.85" hidden="false" customHeight="false" outlineLevel="0" collapsed="false">
      <c r="A85" s="5" t="s">
        <v>286</v>
      </c>
      <c r="B85" s="5" t="s">
        <v>258</v>
      </c>
      <c r="C85" s="5" t="s">
        <v>27</v>
      </c>
      <c r="D85" s="5" t="s">
        <v>287</v>
      </c>
      <c r="E85" s="5" t="s">
        <v>288</v>
      </c>
      <c r="F85" s="5" t="s">
        <v>30</v>
      </c>
      <c r="G85" s="5" t="s">
        <v>31</v>
      </c>
      <c r="H85" s="5"/>
    </row>
    <row r="86" customFormat="false" ht="23.85" hidden="false" customHeight="false" outlineLevel="0" collapsed="false">
      <c r="A86" s="5" t="s">
        <v>289</v>
      </c>
      <c r="B86" s="5" t="s">
        <v>258</v>
      </c>
      <c r="C86" s="5" t="s">
        <v>27</v>
      </c>
      <c r="D86" s="5" t="s">
        <v>290</v>
      </c>
      <c r="E86" s="5" t="s">
        <v>291</v>
      </c>
      <c r="F86" s="5" t="s">
        <v>35</v>
      </c>
      <c r="G86" s="5" t="s">
        <v>153</v>
      </c>
      <c r="H86" s="5"/>
    </row>
    <row r="87" customFormat="false" ht="23.85" hidden="false" customHeight="false" outlineLevel="0" collapsed="false">
      <c r="A87" s="5" t="s">
        <v>292</v>
      </c>
      <c r="B87" s="5" t="s">
        <v>258</v>
      </c>
      <c r="C87" s="5" t="s">
        <v>27</v>
      </c>
      <c r="D87" s="5" t="s">
        <v>293</v>
      </c>
      <c r="E87" s="5" t="s">
        <v>294</v>
      </c>
      <c r="F87" s="5" t="s">
        <v>30</v>
      </c>
      <c r="G87" s="5" t="s">
        <v>31</v>
      </c>
      <c r="H87" s="5"/>
    </row>
    <row r="88" customFormat="false" ht="23.85" hidden="false" customHeight="false" outlineLevel="0" collapsed="false">
      <c r="A88" s="5" t="s">
        <v>295</v>
      </c>
      <c r="B88" s="5" t="s">
        <v>258</v>
      </c>
      <c r="C88" s="5" t="s">
        <v>27</v>
      </c>
      <c r="D88" s="5" t="s">
        <v>296</v>
      </c>
      <c r="E88" s="5" t="s">
        <v>297</v>
      </c>
      <c r="F88" s="5" t="s">
        <v>35</v>
      </c>
      <c r="G88" s="5" t="s">
        <v>261</v>
      </c>
      <c r="H88" s="5"/>
    </row>
    <row r="89" customFormat="false" ht="23.85" hidden="false" customHeight="false" outlineLevel="0" collapsed="false">
      <c r="A89" s="5" t="s">
        <v>298</v>
      </c>
      <c r="B89" s="5" t="s">
        <v>258</v>
      </c>
      <c r="C89" s="5" t="s">
        <v>27</v>
      </c>
      <c r="D89" s="5" t="s">
        <v>299</v>
      </c>
      <c r="E89" s="5" t="s">
        <v>300</v>
      </c>
      <c r="F89" s="5" t="s">
        <v>30</v>
      </c>
      <c r="G89" s="5" t="s">
        <v>153</v>
      </c>
      <c r="H89" s="5"/>
    </row>
    <row r="90" customFormat="false" ht="23.85" hidden="false" customHeight="false" outlineLevel="0" collapsed="false">
      <c r="A90" s="5" t="s">
        <v>301</v>
      </c>
      <c r="B90" s="5" t="s">
        <v>258</v>
      </c>
      <c r="C90" s="5" t="s">
        <v>27</v>
      </c>
      <c r="D90" s="5" t="s">
        <v>302</v>
      </c>
      <c r="E90" s="5" t="s">
        <v>303</v>
      </c>
      <c r="F90" s="5" t="s">
        <v>30</v>
      </c>
      <c r="G90" s="5" t="s">
        <v>205</v>
      </c>
      <c r="H90" s="5"/>
    </row>
    <row r="91" customFormat="false" ht="23.85" hidden="false" customHeight="false" outlineLevel="0" collapsed="false">
      <c r="A91" s="5" t="s">
        <v>304</v>
      </c>
      <c r="B91" s="5" t="s">
        <v>258</v>
      </c>
      <c r="C91" s="5" t="s">
        <v>27</v>
      </c>
      <c r="D91" s="5" t="s">
        <v>305</v>
      </c>
      <c r="E91" s="5" t="s">
        <v>306</v>
      </c>
      <c r="F91" s="5" t="s">
        <v>30</v>
      </c>
      <c r="G91" s="5" t="s">
        <v>261</v>
      </c>
      <c r="H91" s="5"/>
    </row>
    <row r="92" customFormat="false" ht="23.85" hidden="false" customHeight="false" outlineLevel="0" collapsed="false">
      <c r="A92" s="5" t="s">
        <v>307</v>
      </c>
      <c r="B92" s="5" t="s">
        <v>258</v>
      </c>
      <c r="C92" s="5" t="s">
        <v>27</v>
      </c>
      <c r="D92" s="5" t="s">
        <v>308</v>
      </c>
      <c r="E92" s="5" t="s">
        <v>309</v>
      </c>
      <c r="F92" s="5" t="s">
        <v>30</v>
      </c>
      <c r="G92" s="5" t="s">
        <v>261</v>
      </c>
      <c r="H92" s="5"/>
    </row>
    <row r="93" customFormat="false" ht="23.85" hidden="false" customHeight="false" outlineLevel="0" collapsed="false">
      <c r="A93" s="5" t="s">
        <v>310</v>
      </c>
      <c r="B93" s="5" t="s">
        <v>258</v>
      </c>
      <c r="C93" s="5" t="s">
        <v>27</v>
      </c>
      <c r="D93" s="5" t="s">
        <v>311</v>
      </c>
      <c r="E93" s="5" t="s">
        <v>312</v>
      </c>
      <c r="F93" s="5" t="s">
        <v>30</v>
      </c>
      <c r="G93" s="5" t="s">
        <v>261</v>
      </c>
      <c r="H93" s="5"/>
    </row>
    <row r="94" customFormat="false" ht="23.85" hidden="false" customHeight="false" outlineLevel="0" collapsed="false">
      <c r="A94" s="5" t="s">
        <v>313</v>
      </c>
      <c r="B94" s="5" t="s">
        <v>258</v>
      </c>
      <c r="C94" s="5" t="s">
        <v>27</v>
      </c>
      <c r="D94" s="5" t="s">
        <v>314</v>
      </c>
      <c r="E94" s="5" t="s">
        <v>315</v>
      </c>
      <c r="F94" s="5" t="s">
        <v>35</v>
      </c>
      <c r="G94" s="5" t="s">
        <v>205</v>
      </c>
      <c r="H94" s="5"/>
    </row>
    <row r="95" customFormat="false" ht="23.85" hidden="false" customHeight="false" outlineLevel="0" collapsed="false">
      <c r="A95" s="5" t="s">
        <v>316</v>
      </c>
      <c r="B95" s="5" t="s">
        <v>258</v>
      </c>
      <c r="C95" s="5" t="s">
        <v>27</v>
      </c>
      <c r="D95" s="5" t="s">
        <v>317</v>
      </c>
      <c r="E95" s="5" t="s">
        <v>318</v>
      </c>
      <c r="F95" s="5" t="s">
        <v>35</v>
      </c>
      <c r="G95" s="5" t="s">
        <v>261</v>
      </c>
      <c r="H95" s="5"/>
    </row>
    <row r="96" customFormat="false" ht="15" hidden="false" customHeight="false" outlineLevel="0" collapsed="false">
      <c r="A96" s="5" t="s">
        <v>319</v>
      </c>
      <c r="B96" s="5" t="s">
        <v>258</v>
      </c>
      <c r="C96" s="5" t="s">
        <v>76</v>
      </c>
      <c r="D96" s="5" t="s">
        <v>320</v>
      </c>
      <c r="E96" s="5" t="s">
        <v>321</v>
      </c>
      <c r="F96" s="5" t="s">
        <v>35</v>
      </c>
      <c r="G96" s="5" t="s">
        <v>261</v>
      </c>
      <c r="H96" s="5"/>
    </row>
    <row r="97" customFormat="false" ht="23.85" hidden="false" customHeight="false" outlineLevel="0" collapsed="false">
      <c r="A97" s="5" t="s">
        <v>322</v>
      </c>
      <c r="B97" s="5" t="s">
        <v>258</v>
      </c>
      <c r="C97" s="5" t="s">
        <v>76</v>
      </c>
      <c r="D97" s="5" t="s">
        <v>323</v>
      </c>
      <c r="E97" s="5" t="s">
        <v>324</v>
      </c>
      <c r="F97" s="6" t="s">
        <v>325</v>
      </c>
      <c r="G97" s="5" t="s">
        <v>261</v>
      </c>
      <c r="H97" s="5"/>
    </row>
    <row r="98" customFormat="false" ht="15" hidden="false" customHeight="false" outlineLevel="0" collapsed="false">
      <c r="A98" s="5" t="s">
        <v>326</v>
      </c>
      <c r="B98" s="5" t="s">
        <v>258</v>
      </c>
      <c r="C98" s="5" t="s">
        <v>76</v>
      </c>
      <c r="D98" s="5" t="s">
        <v>327</v>
      </c>
      <c r="E98" s="5" t="s">
        <v>328</v>
      </c>
      <c r="F98" s="5" t="s">
        <v>35</v>
      </c>
      <c r="G98" s="5" t="s">
        <v>261</v>
      </c>
      <c r="H98" s="5"/>
    </row>
    <row r="99" customFormat="false" ht="15" hidden="false" customHeight="false" outlineLevel="0" collapsed="false">
      <c r="A99" s="5" t="s">
        <v>329</v>
      </c>
      <c r="B99" s="5" t="s">
        <v>258</v>
      </c>
      <c r="C99" s="5" t="s">
        <v>76</v>
      </c>
      <c r="D99" s="5" t="s">
        <v>330</v>
      </c>
      <c r="E99" s="5" t="s">
        <v>331</v>
      </c>
      <c r="F99" s="5" t="s">
        <v>35</v>
      </c>
      <c r="G99" s="5" t="s">
        <v>261</v>
      </c>
      <c r="H99" s="5"/>
    </row>
    <row r="100" customFormat="false" ht="15" hidden="false" customHeight="false" outlineLevel="0" collapsed="false">
      <c r="A100" s="5" t="s">
        <v>332</v>
      </c>
      <c r="B100" s="5" t="s">
        <v>258</v>
      </c>
      <c r="C100" s="5" t="s">
        <v>76</v>
      </c>
      <c r="D100" s="5" t="s">
        <v>333</v>
      </c>
      <c r="E100" s="5" t="s">
        <v>334</v>
      </c>
      <c r="F100" s="5" t="s">
        <v>35</v>
      </c>
      <c r="G100" s="5" t="s">
        <v>261</v>
      </c>
      <c r="H100" s="5"/>
    </row>
    <row r="101" customFormat="false" ht="15" hidden="false" customHeight="false" outlineLevel="0" collapsed="false">
      <c r="A101" s="5" t="s">
        <v>335</v>
      </c>
      <c r="B101" s="5" t="s">
        <v>258</v>
      </c>
      <c r="C101" s="5" t="s">
        <v>76</v>
      </c>
      <c r="D101" s="5" t="s">
        <v>336</v>
      </c>
      <c r="E101" s="5" t="s">
        <v>337</v>
      </c>
      <c r="F101" s="5" t="s">
        <v>35</v>
      </c>
      <c r="G101" s="5" t="s">
        <v>153</v>
      </c>
      <c r="H101" s="5"/>
    </row>
    <row r="102" customFormat="false" ht="35.05" hidden="false" customHeight="false" outlineLevel="0" collapsed="false">
      <c r="A102" s="5" t="s">
        <v>338</v>
      </c>
      <c r="B102" s="5" t="s">
        <v>339</v>
      </c>
      <c r="C102" s="5" t="s">
        <v>27</v>
      </c>
      <c r="D102" s="5" t="s">
        <v>340</v>
      </c>
      <c r="E102" s="5" t="s">
        <v>341</v>
      </c>
      <c r="F102" s="5" t="s">
        <v>35</v>
      </c>
      <c r="G102" s="5" t="s">
        <v>342</v>
      </c>
      <c r="H102" s="5"/>
    </row>
    <row r="103" customFormat="false" ht="23.85" hidden="false" customHeight="false" outlineLevel="0" collapsed="false">
      <c r="A103" s="5" t="s">
        <v>343</v>
      </c>
      <c r="B103" s="5" t="s">
        <v>339</v>
      </c>
      <c r="C103" s="5" t="s">
        <v>27</v>
      </c>
      <c r="D103" s="5" t="s">
        <v>344</v>
      </c>
      <c r="E103" s="5" t="s">
        <v>345</v>
      </c>
      <c r="F103" s="5" t="s">
        <v>35</v>
      </c>
      <c r="G103" s="5" t="s">
        <v>342</v>
      </c>
      <c r="H103" s="5"/>
    </row>
    <row r="104" customFormat="false" ht="23.85" hidden="false" customHeight="false" outlineLevel="0" collapsed="false">
      <c r="A104" s="5" t="s">
        <v>346</v>
      </c>
      <c r="B104" s="5" t="s">
        <v>339</v>
      </c>
      <c r="C104" s="5" t="s">
        <v>27</v>
      </c>
      <c r="D104" s="5" t="s">
        <v>347</v>
      </c>
      <c r="E104" s="5" t="s">
        <v>348</v>
      </c>
      <c r="F104" s="6" t="s">
        <v>325</v>
      </c>
      <c r="G104" s="5" t="s">
        <v>342</v>
      </c>
      <c r="H104" s="5"/>
    </row>
    <row r="105" customFormat="false" ht="23.85" hidden="false" customHeight="false" outlineLevel="0" collapsed="false">
      <c r="A105" s="5" t="s">
        <v>349</v>
      </c>
      <c r="B105" s="5" t="s">
        <v>339</v>
      </c>
      <c r="C105" s="5" t="s">
        <v>27</v>
      </c>
      <c r="D105" s="5" t="s">
        <v>350</v>
      </c>
      <c r="E105" s="5" t="s">
        <v>351</v>
      </c>
      <c r="F105" s="6" t="s">
        <v>325</v>
      </c>
      <c r="G105" s="5" t="s">
        <v>342</v>
      </c>
      <c r="H105" s="5"/>
    </row>
    <row r="106" customFormat="false" ht="23.85" hidden="false" customHeight="false" outlineLevel="0" collapsed="false">
      <c r="A106" s="5" t="s">
        <v>352</v>
      </c>
      <c r="B106" s="5" t="s">
        <v>339</v>
      </c>
      <c r="C106" s="5" t="s">
        <v>27</v>
      </c>
      <c r="D106" s="5" t="s">
        <v>353</v>
      </c>
      <c r="E106" s="5" t="s">
        <v>354</v>
      </c>
      <c r="F106" s="5" t="s">
        <v>35</v>
      </c>
      <c r="G106" s="5" t="s">
        <v>342</v>
      </c>
      <c r="H106" s="5"/>
    </row>
    <row r="107" customFormat="false" ht="23.85" hidden="false" customHeight="false" outlineLevel="0" collapsed="false">
      <c r="A107" s="5" t="s">
        <v>355</v>
      </c>
      <c r="B107" s="5" t="s">
        <v>339</v>
      </c>
      <c r="C107" s="5" t="s">
        <v>27</v>
      </c>
      <c r="D107" s="5" t="s">
        <v>356</v>
      </c>
      <c r="E107" s="5" t="s">
        <v>357</v>
      </c>
      <c r="F107" s="6" t="s">
        <v>325</v>
      </c>
      <c r="G107" s="5" t="s">
        <v>358</v>
      </c>
      <c r="H107" s="5"/>
    </row>
    <row r="108" customFormat="false" ht="23.85" hidden="false" customHeight="false" outlineLevel="0" collapsed="false">
      <c r="A108" s="5" t="s">
        <v>359</v>
      </c>
      <c r="B108" s="5" t="s">
        <v>339</v>
      </c>
      <c r="C108" s="5" t="s">
        <v>27</v>
      </c>
      <c r="D108" s="5" t="s">
        <v>360</v>
      </c>
      <c r="E108" s="5" t="s">
        <v>361</v>
      </c>
      <c r="F108" s="6" t="s">
        <v>325</v>
      </c>
      <c r="G108" s="5" t="s">
        <v>358</v>
      </c>
      <c r="H108" s="5"/>
    </row>
    <row r="109" customFormat="false" ht="23.85" hidden="false" customHeight="false" outlineLevel="0" collapsed="false">
      <c r="A109" s="5" t="s">
        <v>362</v>
      </c>
      <c r="B109" s="5" t="s">
        <v>339</v>
      </c>
      <c r="C109" s="5" t="s">
        <v>27</v>
      </c>
      <c r="D109" s="5" t="s">
        <v>363</v>
      </c>
      <c r="E109" s="5" t="s">
        <v>364</v>
      </c>
      <c r="F109" s="5" t="s">
        <v>35</v>
      </c>
      <c r="G109" s="5" t="s">
        <v>365</v>
      </c>
      <c r="H109" s="5"/>
    </row>
    <row r="110" customFormat="false" ht="23.85" hidden="false" customHeight="false" outlineLevel="0" collapsed="false">
      <c r="A110" s="5" t="s">
        <v>366</v>
      </c>
      <c r="B110" s="5" t="s">
        <v>339</v>
      </c>
      <c r="C110" s="5" t="s">
        <v>27</v>
      </c>
      <c r="D110" s="5" t="s">
        <v>367</v>
      </c>
      <c r="E110" s="5" t="s">
        <v>368</v>
      </c>
      <c r="F110" s="5" t="s">
        <v>35</v>
      </c>
      <c r="G110" s="5" t="s">
        <v>365</v>
      </c>
      <c r="H110" s="5"/>
    </row>
    <row r="111" customFormat="false" ht="23.85" hidden="false" customHeight="false" outlineLevel="0" collapsed="false">
      <c r="A111" s="5" t="s">
        <v>369</v>
      </c>
      <c r="B111" s="5" t="s">
        <v>339</v>
      </c>
      <c r="C111" s="5" t="s">
        <v>27</v>
      </c>
      <c r="D111" s="5" t="s">
        <v>370</v>
      </c>
      <c r="E111" s="5" t="s">
        <v>371</v>
      </c>
      <c r="F111" s="5" t="s">
        <v>35</v>
      </c>
      <c r="G111" s="5" t="s">
        <v>365</v>
      </c>
      <c r="H111" s="5"/>
    </row>
    <row r="112" customFormat="false" ht="23.85" hidden="false" customHeight="false" outlineLevel="0" collapsed="false">
      <c r="A112" s="5" t="s">
        <v>372</v>
      </c>
      <c r="B112" s="5" t="s">
        <v>339</v>
      </c>
      <c r="C112" s="5" t="s">
        <v>27</v>
      </c>
      <c r="D112" s="5" t="s">
        <v>373</v>
      </c>
      <c r="E112" s="5" t="s">
        <v>374</v>
      </c>
      <c r="F112" s="6" t="s">
        <v>325</v>
      </c>
      <c r="G112" s="5" t="s">
        <v>365</v>
      </c>
      <c r="H112" s="5"/>
    </row>
    <row r="113" customFormat="false" ht="23.85" hidden="false" customHeight="false" outlineLevel="0" collapsed="false">
      <c r="A113" s="5" t="s">
        <v>375</v>
      </c>
      <c r="B113" s="5" t="s">
        <v>339</v>
      </c>
      <c r="C113" s="5" t="s">
        <v>27</v>
      </c>
      <c r="D113" s="5" t="s">
        <v>376</v>
      </c>
      <c r="E113" s="5" t="s">
        <v>377</v>
      </c>
      <c r="F113" s="5" t="s">
        <v>35</v>
      </c>
      <c r="G113" s="5" t="s">
        <v>378</v>
      </c>
      <c r="H113" s="5"/>
    </row>
    <row r="114" customFormat="false" ht="23.85" hidden="false" customHeight="false" outlineLevel="0" collapsed="false">
      <c r="A114" s="5" t="s">
        <v>379</v>
      </c>
      <c r="B114" s="5" t="s">
        <v>339</v>
      </c>
      <c r="C114" s="5" t="s">
        <v>27</v>
      </c>
      <c r="D114" s="5" t="s">
        <v>380</v>
      </c>
      <c r="E114" s="5" t="s">
        <v>381</v>
      </c>
      <c r="F114" s="5" t="s">
        <v>35</v>
      </c>
      <c r="G114" s="5" t="s">
        <v>378</v>
      </c>
      <c r="H114" s="5"/>
    </row>
    <row r="115" customFormat="false" ht="23.85" hidden="false" customHeight="false" outlineLevel="0" collapsed="false">
      <c r="A115" s="5" t="s">
        <v>382</v>
      </c>
      <c r="B115" s="5" t="s">
        <v>339</v>
      </c>
      <c r="C115" s="5" t="s">
        <v>27</v>
      </c>
      <c r="D115" s="5" t="s">
        <v>383</v>
      </c>
      <c r="E115" s="5" t="s">
        <v>384</v>
      </c>
      <c r="F115" s="5" t="s">
        <v>35</v>
      </c>
      <c r="G115" s="5" t="s">
        <v>378</v>
      </c>
      <c r="H115" s="5"/>
    </row>
    <row r="116" customFormat="false" ht="23.85" hidden="false" customHeight="false" outlineLevel="0" collapsed="false">
      <c r="A116" s="5" t="s">
        <v>385</v>
      </c>
      <c r="B116" s="5" t="s">
        <v>339</v>
      </c>
      <c r="C116" s="5" t="s">
        <v>27</v>
      </c>
      <c r="D116" s="5" t="s">
        <v>386</v>
      </c>
      <c r="E116" s="5" t="s">
        <v>387</v>
      </c>
      <c r="F116" s="6" t="s">
        <v>325</v>
      </c>
      <c r="G116" s="5" t="s">
        <v>388</v>
      </c>
      <c r="H116" s="5"/>
    </row>
    <row r="117" customFormat="false" ht="23.85" hidden="false" customHeight="false" outlineLevel="0" collapsed="false">
      <c r="A117" s="5" t="s">
        <v>389</v>
      </c>
      <c r="B117" s="5" t="s">
        <v>339</v>
      </c>
      <c r="C117" s="5" t="s">
        <v>27</v>
      </c>
      <c r="D117" s="5" t="s">
        <v>390</v>
      </c>
      <c r="E117" s="5" t="s">
        <v>391</v>
      </c>
      <c r="F117" s="6" t="s">
        <v>325</v>
      </c>
      <c r="G117" s="5" t="s">
        <v>392</v>
      </c>
      <c r="H117" s="5"/>
    </row>
    <row r="118" customFormat="false" ht="23.85" hidden="false" customHeight="false" outlineLevel="0" collapsed="false">
      <c r="A118" s="5" t="s">
        <v>393</v>
      </c>
      <c r="B118" s="5" t="s">
        <v>339</v>
      </c>
      <c r="C118" s="5" t="s">
        <v>27</v>
      </c>
      <c r="D118" s="5" t="s">
        <v>394</v>
      </c>
      <c r="E118" s="5" t="s">
        <v>395</v>
      </c>
      <c r="F118" s="5" t="s">
        <v>35</v>
      </c>
      <c r="G118" s="5" t="s">
        <v>358</v>
      </c>
      <c r="H118" s="5"/>
    </row>
    <row r="119" customFormat="false" ht="23.85" hidden="false" customHeight="false" outlineLevel="0" collapsed="false">
      <c r="A119" s="5" t="s">
        <v>396</v>
      </c>
      <c r="B119" s="5" t="s">
        <v>339</v>
      </c>
      <c r="C119" s="5" t="s">
        <v>27</v>
      </c>
      <c r="D119" s="5" t="s">
        <v>397</v>
      </c>
      <c r="E119" s="5" t="s">
        <v>398</v>
      </c>
      <c r="F119" s="5" t="s">
        <v>35</v>
      </c>
      <c r="G119" s="5" t="s">
        <v>358</v>
      </c>
      <c r="H119" s="5"/>
    </row>
    <row r="120" customFormat="false" ht="23.85" hidden="false" customHeight="false" outlineLevel="0" collapsed="false">
      <c r="A120" s="5" t="s">
        <v>399</v>
      </c>
      <c r="B120" s="5" t="s">
        <v>339</v>
      </c>
      <c r="C120" s="5" t="s">
        <v>27</v>
      </c>
      <c r="D120" s="5" t="s">
        <v>400</v>
      </c>
      <c r="E120" s="5" t="s">
        <v>401</v>
      </c>
      <c r="F120" s="5" t="s">
        <v>35</v>
      </c>
      <c r="G120" s="5" t="s">
        <v>358</v>
      </c>
      <c r="H120" s="5"/>
    </row>
    <row r="121" customFormat="false" ht="23.85" hidden="false" customHeight="false" outlineLevel="0" collapsed="false">
      <c r="A121" s="5" t="s">
        <v>402</v>
      </c>
      <c r="B121" s="5" t="s">
        <v>339</v>
      </c>
      <c r="C121" s="5" t="s">
        <v>27</v>
      </c>
      <c r="D121" s="5" t="s">
        <v>403</v>
      </c>
      <c r="E121" s="5" t="s">
        <v>404</v>
      </c>
      <c r="F121" s="5" t="s">
        <v>35</v>
      </c>
      <c r="G121" s="5" t="s">
        <v>358</v>
      </c>
      <c r="H121" s="5"/>
    </row>
    <row r="122" customFormat="false" ht="23.85" hidden="false" customHeight="false" outlineLevel="0" collapsed="false">
      <c r="A122" s="5" t="s">
        <v>405</v>
      </c>
      <c r="B122" s="5" t="s">
        <v>339</v>
      </c>
      <c r="C122" s="5" t="s">
        <v>27</v>
      </c>
      <c r="D122" s="5" t="s">
        <v>406</v>
      </c>
      <c r="E122" s="5" t="s">
        <v>407</v>
      </c>
      <c r="F122" s="6" t="s">
        <v>325</v>
      </c>
      <c r="G122" s="5" t="s">
        <v>153</v>
      </c>
      <c r="H122" s="5"/>
    </row>
    <row r="123" customFormat="false" ht="23.85" hidden="false" customHeight="false" outlineLevel="0" collapsed="false">
      <c r="A123" s="5" t="s">
        <v>408</v>
      </c>
      <c r="B123" s="5" t="s">
        <v>339</v>
      </c>
      <c r="C123" s="5" t="s">
        <v>27</v>
      </c>
      <c r="D123" s="5" t="s">
        <v>409</v>
      </c>
      <c r="E123" s="5" t="s">
        <v>410</v>
      </c>
      <c r="F123" s="6" t="s">
        <v>325</v>
      </c>
      <c r="G123" s="5" t="s">
        <v>153</v>
      </c>
      <c r="H123" s="5"/>
    </row>
    <row r="124" customFormat="false" ht="23.85" hidden="false" customHeight="false" outlineLevel="0" collapsed="false">
      <c r="A124" s="5" t="s">
        <v>411</v>
      </c>
      <c r="B124" s="5" t="s">
        <v>339</v>
      </c>
      <c r="C124" s="5" t="s">
        <v>27</v>
      </c>
      <c r="D124" s="5" t="s">
        <v>412</v>
      </c>
      <c r="E124" s="5" t="s">
        <v>413</v>
      </c>
      <c r="F124" s="5" t="s">
        <v>30</v>
      </c>
      <c r="G124" s="5" t="s">
        <v>153</v>
      </c>
      <c r="H124" s="5"/>
    </row>
    <row r="125" customFormat="false" ht="23.85" hidden="false" customHeight="false" outlineLevel="0" collapsed="false">
      <c r="A125" s="5" t="s">
        <v>414</v>
      </c>
      <c r="B125" s="5" t="s">
        <v>339</v>
      </c>
      <c r="C125" s="5" t="s">
        <v>27</v>
      </c>
      <c r="D125" s="5" t="s">
        <v>415</v>
      </c>
      <c r="E125" s="5" t="s">
        <v>416</v>
      </c>
      <c r="F125" s="5" t="s">
        <v>35</v>
      </c>
      <c r="G125" s="5" t="s">
        <v>417</v>
      </c>
      <c r="H125" s="5"/>
    </row>
    <row r="126" customFormat="false" ht="23.85" hidden="false" customHeight="false" outlineLevel="0" collapsed="false">
      <c r="A126" s="5" t="s">
        <v>418</v>
      </c>
      <c r="B126" s="5" t="s">
        <v>339</v>
      </c>
      <c r="C126" s="5" t="s">
        <v>27</v>
      </c>
      <c r="D126" s="5" t="s">
        <v>419</v>
      </c>
      <c r="E126" s="5" t="s">
        <v>420</v>
      </c>
      <c r="F126" s="5" t="s">
        <v>35</v>
      </c>
      <c r="G126" s="5" t="s">
        <v>421</v>
      </c>
      <c r="H126" s="5"/>
    </row>
    <row r="127" customFormat="false" ht="23.85" hidden="false" customHeight="false" outlineLevel="0" collapsed="false">
      <c r="A127" s="5" t="s">
        <v>422</v>
      </c>
      <c r="B127" s="5" t="s">
        <v>339</v>
      </c>
      <c r="C127" s="5" t="s">
        <v>27</v>
      </c>
      <c r="D127" s="5" t="s">
        <v>423</v>
      </c>
      <c r="E127" s="5" t="s">
        <v>424</v>
      </c>
      <c r="F127" s="5" t="s">
        <v>35</v>
      </c>
      <c r="G127" s="5" t="s">
        <v>421</v>
      </c>
      <c r="H127" s="5"/>
    </row>
    <row r="128" customFormat="false" ht="23.85" hidden="false" customHeight="false" outlineLevel="0" collapsed="false">
      <c r="A128" s="5" t="s">
        <v>425</v>
      </c>
      <c r="B128" s="5" t="s">
        <v>339</v>
      </c>
      <c r="C128" s="5" t="s">
        <v>27</v>
      </c>
      <c r="D128" s="5" t="s">
        <v>426</v>
      </c>
      <c r="E128" s="5" t="s">
        <v>427</v>
      </c>
      <c r="F128" s="5" t="s">
        <v>35</v>
      </c>
      <c r="G128" s="5" t="s">
        <v>421</v>
      </c>
      <c r="H128" s="5"/>
    </row>
    <row r="129" customFormat="false" ht="23.85" hidden="false" customHeight="false" outlineLevel="0" collapsed="false">
      <c r="A129" s="5" t="s">
        <v>428</v>
      </c>
      <c r="B129" s="5" t="s">
        <v>339</v>
      </c>
      <c r="C129" s="5" t="s">
        <v>27</v>
      </c>
      <c r="D129" s="5" t="s">
        <v>429</v>
      </c>
      <c r="E129" s="5" t="s">
        <v>430</v>
      </c>
      <c r="F129" s="5" t="s">
        <v>35</v>
      </c>
      <c r="G129" s="5" t="s">
        <v>358</v>
      </c>
      <c r="H129" s="5"/>
    </row>
    <row r="130" customFormat="false" ht="23.85" hidden="false" customHeight="false" outlineLevel="0" collapsed="false">
      <c r="A130" s="5" t="s">
        <v>431</v>
      </c>
      <c r="B130" s="5" t="s">
        <v>339</v>
      </c>
      <c r="C130" s="5" t="s">
        <v>27</v>
      </c>
      <c r="D130" s="5" t="s">
        <v>432</v>
      </c>
      <c r="E130" s="5" t="s">
        <v>433</v>
      </c>
      <c r="F130" s="6" t="s">
        <v>325</v>
      </c>
      <c r="G130" s="5" t="s">
        <v>358</v>
      </c>
      <c r="H130" s="5"/>
    </row>
    <row r="131" customFormat="false" ht="23.85" hidden="false" customHeight="false" outlineLevel="0" collapsed="false">
      <c r="A131" s="5" t="s">
        <v>434</v>
      </c>
      <c r="B131" s="5" t="s">
        <v>339</v>
      </c>
      <c r="C131" s="5" t="s">
        <v>27</v>
      </c>
      <c r="D131" s="5" t="s">
        <v>435</v>
      </c>
      <c r="E131" s="5" t="s">
        <v>436</v>
      </c>
      <c r="F131" s="6" t="s">
        <v>325</v>
      </c>
      <c r="G131" s="5" t="s">
        <v>437</v>
      </c>
      <c r="H131" s="5"/>
    </row>
    <row r="132" customFormat="false" ht="23.85" hidden="false" customHeight="false" outlineLevel="0" collapsed="false">
      <c r="A132" s="5" t="s">
        <v>438</v>
      </c>
      <c r="B132" s="5" t="s">
        <v>339</v>
      </c>
      <c r="C132" s="5" t="s">
        <v>76</v>
      </c>
      <c r="D132" s="5" t="s">
        <v>439</v>
      </c>
      <c r="E132" s="5" t="s">
        <v>440</v>
      </c>
      <c r="F132" s="5" t="s">
        <v>35</v>
      </c>
      <c r="G132" s="5" t="s">
        <v>421</v>
      </c>
      <c r="H132" s="5"/>
    </row>
    <row r="133" customFormat="false" ht="15" hidden="false" customHeight="false" outlineLevel="0" collapsed="false">
      <c r="A133" s="5" t="s">
        <v>441</v>
      </c>
      <c r="B133" s="5" t="s">
        <v>339</v>
      </c>
      <c r="C133" s="5" t="s">
        <v>76</v>
      </c>
      <c r="D133" s="5" t="s">
        <v>442</v>
      </c>
      <c r="E133" s="5" t="s">
        <v>443</v>
      </c>
      <c r="F133" s="5" t="s">
        <v>35</v>
      </c>
      <c r="G133" s="5" t="s">
        <v>358</v>
      </c>
      <c r="H133" s="5"/>
    </row>
    <row r="134" customFormat="false" ht="15" hidden="false" customHeight="false" outlineLevel="0" collapsed="false">
      <c r="A134" s="5" t="s">
        <v>444</v>
      </c>
      <c r="B134" s="5" t="s">
        <v>339</v>
      </c>
      <c r="C134" s="5" t="s">
        <v>76</v>
      </c>
      <c r="D134" s="5" t="s">
        <v>445</v>
      </c>
      <c r="E134" s="5" t="s">
        <v>446</v>
      </c>
      <c r="F134" s="6" t="s">
        <v>325</v>
      </c>
      <c r="G134" s="5" t="s">
        <v>358</v>
      </c>
      <c r="H134" s="5"/>
    </row>
    <row r="135" customFormat="false" ht="15" hidden="false" customHeight="false" outlineLevel="0" collapsed="false">
      <c r="A135" s="5" t="s">
        <v>447</v>
      </c>
      <c r="B135" s="5" t="s">
        <v>339</v>
      </c>
      <c r="C135" s="5" t="s">
        <v>76</v>
      </c>
      <c r="D135" s="5" t="s">
        <v>448</v>
      </c>
      <c r="E135" s="5" t="s">
        <v>449</v>
      </c>
      <c r="F135" s="6" t="s">
        <v>325</v>
      </c>
      <c r="G135" s="5" t="s">
        <v>358</v>
      </c>
      <c r="H135" s="5"/>
    </row>
    <row r="136" customFormat="false" ht="15" hidden="false" customHeight="false" outlineLevel="0" collapsed="false">
      <c r="A136" s="5" t="s">
        <v>450</v>
      </c>
      <c r="B136" s="5" t="s">
        <v>339</v>
      </c>
      <c r="C136" s="5" t="s">
        <v>76</v>
      </c>
      <c r="D136" s="5" t="s">
        <v>451</v>
      </c>
      <c r="E136" s="5" t="s">
        <v>452</v>
      </c>
      <c r="F136" s="5" t="s">
        <v>35</v>
      </c>
      <c r="G136" s="5" t="s">
        <v>358</v>
      </c>
      <c r="H136" s="5"/>
    </row>
    <row r="137" customFormat="false" ht="15" hidden="false" customHeight="false" outlineLevel="0" collapsed="false">
      <c r="A137" s="5" t="s">
        <v>453</v>
      </c>
      <c r="B137" s="5" t="s">
        <v>339</v>
      </c>
      <c r="C137" s="5" t="s">
        <v>76</v>
      </c>
      <c r="D137" s="5" t="s">
        <v>454</v>
      </c>
      <c r="E137" s="5" t="s">
        <v>455</v>
      </c>
      <c r="F137" s="5" t="s">
        <v>35</v>
      </c>
      <c r="G137" s="5" t="s">
        <v>342</v>
      </c>
      <c r="H137" s="5"/>
    </row>
  </sheetData>
  <autoFilter ref="A1:H137"/>
  <dataValidations count="1">
    <dataValidation allowBlank="true" errorStyle="stop" operator="between" showDropDown="false" showErrorMessage="false" showInputMessage="false" sqref="H2:H137" type="list">
      <formula1>"verified_ok,needs_fix,removed"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2"/>
    <col collapsed="false" customWidth="true" hidden="false" outlineLevel="0" max="4" min="4" style="0" width="55"/>
    <col collapsed="false" customWidth="true" hidden="false" outlineLevel="0" max="5" min="5" style="0" width="14"/>
    <col collapsed="false" customWidth="true" hidden="false" outlineLevel="0" max="6" min="6" style="0" width="32"/>
  </cols>
  <sheetData>
    <row r="1" customFormat="false" ht="15" hidden="false" customHeight="false" outlineLevel="0" collapsed="false">
      <c r="A1" s="7" t="s">
        <v>456</v>
      </c>
      <c r="B1" s="7" t="s">
        <v>18</v>
      </c>
      <c r="C1" s="7" t="s">
        <v>457</v>
      </c>
      <c r="D1" s="7" t="s">
        <v>458</v>
      </c>
      <c r="E1" s="7" t="s">
        <v>459</v>
      </c>
      <c r="F1" s="7" t="s">
        <v>460</v>
      </c>
    </row>
    <row r="2" customFormat="false" ht="15" hidden="false" customHeight="false" outlineLevel="0" collapsed="false">
      <c r="A2" s="5" t="s">
        <v>461</v>
      </c>
      <c r="B2" s="5" t="s">
        <v>258</v>
      </c>
      <c r="C2" s="5" t="s">
        <v>462</v>
      </c>
      <c r="D2" s="5" t="s">
        <v>463</v>
      </c>
      <c r="E2" s="5" t="s">
        <v>257</v>
      </c>
      <c r="F2" s="5" t="s">
        <v>259</v>
      </c>
    </row>
    <row r="3" customFormat="false" ht="15" hidden="false" customHeight="false" outlineLevel="0" collapsed="false">
      <c r="A3" s="5" t="s">
        <v>464</v>
      </c>
      <c r="B3" s="5" t="s">
        <v>339</v>
      </c>
      <c r="C3" s="5" t="s">
        <v>462</v>
      </c>
      <c r="D3" s="5" t="s">
        <v>465</v>
      </c>
      <c r="E3" s="5" t="s">
        <v>375</v>
      </c>
      <c r="F3" s="5" t="s">
        <v>376</v>
      </c>
    </row>
    <row r="4" customFormat="false" ht="15" hidden="false" customHeight="false" outlineLevel="0" collapsed="false">
      <c r="A4" s="5" t="s">
        <v>466</v>
      </c>
      <c r="B4" s="5" t="s">
        <v>150</v>
      </c>
      <c r="C4" s="5" t="s">
        <v>462</v>
      </c>
      <c r="D4" s="5" t="s">
        <v>467</v>
      </c>
      <c r="E4" s="5" t="s">
        <v>160</v>
      </c>
      <c r="F4" s="5" t="s">
        <v>161</v>
      </c>
    </row>
    <row r="5" customFormat="false" ht="15" hidden="false" customHeight="false" outlineLevel="0" collapsed="false">
      <c r="A5" s="5" t="s">
        <v>468</v>
      </c>
      <c r="B5" s="5" t="s">
        <v>26</v>
      </c>
      <c r="C5" s="5" t="s">
        <v>462</v>
      </c>
      <c r="D5" s="5" t="s">
        <v>469</v>
      </c>
      <c r="E5" s="5" t="s">
        <v>32</v>
      </c>
      <c r="F5" s="5" t="s">
        <v>33</v>
      </c>
    </row>
    <row r="6" customFormat="false" ht="15" hidden="false" customHeight="false" outlineLevel="0" collapsed="false">
      <c r="A6" s="5" t="s">
        <v>470</v>
      </c>
      <c r="B6" s="5" t="s">
        <v>258</v>
      </c>
      <c r="C6" s="5" t="s">
        <v>462</v>
      </c>
      <c r="D6" s="5" t="s">
        <v>471</v>
      </c>
      <c r="E6" s="5" t="s">
        <v>313</v>
      </c>
      <c r="F6" s="5" t="s">
        <v>314</v>
      </c>
    </row>
    <row r="7" customFormat="false" ht="15" hidden="false" customHeight="false" outlineLevel="0" collapsed="false">
      <c r="A7" s="5" t="s">
        <v>472</v>
      </c>
      <c r="B7" s="5" t="s">
        <v>150</v>
      </c>
      <c r="C7" s="5" t="s">
        <v>462</v>
      </c>
      <c r="D7" s="5" t="s">
        <v>473</v>
      </c>
      <c r="E7" s="5" t="s">
        <v>154</v>
      </c>
      <c r="F7" s="5" t="s">
        <v>155</v>
      </c>
    </row>
    <row r="8" customFormat="false" ht="15" hidden="false" customHeight="false" outlineLevel="0" collapsed="false">
      <c r="A8" s="5" t="s">
        <v>474</v>
      </c>
      <c r="B8" s="5" t="s">
        <v>26</v>
      </c>
      <c r="C8" s="5" t="s">
        <v>475</v>
      </c>
      <c r="D8" s="5" t="s">
        <v>476</v>
      </c>
      <c r="E8" s="5" t="s">
        <v>100</v>
      </c>
      <c r="F8" s="5" t="s">
        <v>102</v>
      </c>
    </row>
    <row r="9" customFormat="false" ht="15" hidden="false" customHeight="false" outlineLevel="0" collapsed="false">
      <c r="A9" s="5" t="s">
        <v>477</v>
      </c>
      <c r="B9" s="5" t="s">
        <v>150</v>
      </c>
      <c r="C9" s="5" t="s">
        <v>462</v>
      </c>
      <c r="D9" s="5" t="s">
        <v>478</v>
      </c>
      <c r="E9" s="5" t="s">
        <v>157</v>
      </c>
      <c r="F9" s="5" t="s">
        <v>158</v>
      </c>
    </row>
    <row r="10" customFormat="false" ht="15" hidden="false" customHeight="false" outlineLevel="0" collapsed="false">
      <c r="A10" s="5" t="s">
        <v>479</v>
      </c>
      <c r="B10" s="5" t="s">
        <v>339</v>
      </c>
      <c r="C10" s="5" t="s">
        <v>462</v>
      </c>
      <c r="D10" s="5" t="s">
        <v>480</v>
      </c>
      <c r="E10" s="5" t="s">
        <v>346</v>
      </c>
      <c r="F10" s="5" t="s">
        <v>347</v>
      </c>
    </row>
    <row r="11" customFormat="false" ht="15" hidden="false" customHeight="false" outlineLevel="0" collapsed="false">
      <c r="A11" s="5" t="s">
        <v>481</v>
      </c>
      <c r="B11" s="5" t="s">
        <v>150</v>
      </c>
      <c r="C11" s="5" t="s">
        <v>462</v>
      </c>
      <c r="D11" s="5" t="s">
        <v>482</v>
      </c>
      <c r="E11" s="5" t="s">
        <v>149</v>
      </c>
      <c r="F11" s="5" t="s">
        <v>151</v>
      </c>
    </row>
    <row r="12" customFormat="false" ht="15" hidden="false" customHeight="false" outlineLevel="0" collapsed="false">
      <c r="A12" s="5" t="s">
        <v>483</v>
      </c>
      <c r="B12" s="5" t="s">
        <v>258</v>
      </c>
      <c r="C12" s="5" t="s">
        <v>462</v>
      </c>
      <c r="D12" s="5" t="s">
        <v>484</v>
      </c>
      <c r="E12" s="5" t="s">
        <v>304</v>
      </c>
      <c r="F12" s="5" t="s">
        <v>305</v>
      </c>
    </row>
    <row r="13" customFormat="false" ht="15" hidden="false" customHeight="false" outlineLevel="0" collapsed="false">
      <c r="A13" s="5" t="s">
        <v>485</v>
      </c>
      <c r="B13" s="5" t="s">
        <v>339</v>
      </c>
      <c r="C13" s="5" t="s">
        <v>462</v>
      </c>
      <c r="D13" s="5" t="s">
        <v>486</v>
      </c>
      <c r="E13" s="5" t="s">
        <v>405</v>
      </c>
      <c r="F13" s="5" t="s">
        <v>406</v>
      </c>
    </row>
    <row r="14" customFormat="false" ht="15" hidden="false" customHeight="false" outlineLevel="0" collapsed="false">
      <c r="A14" s="5" t="s">
        <v>487</v>
      </c>
      <c r="B14" s="5" t="s">
        <v>339</v>
      </c>
      <c r="C14" s="5" t="s">
        <v>462</v>
      </c>
      <c r="D14" s="5" t="s">
        <v>488</v>
      </c>
      <c r="E14" s="5" t="s">
        <v>393</v>
      </c>
      <c r="F14" s="5" t="s">
        <v>394</v>
      </c>
    </row>
    <row r="15" customFormat="false" ht="15" hidden="false" customHeight="false" outlineLevel="0" collapsed="false">
      <c r="A15" s="5" t="s">
        <v>489</v>
      </c>
      <c r="B15" s="5" t="s">
        <v>26</v>
      </c>
      <c r="C15" s="5" t="s">
        <v>475</v>
      </c>
      <c r="D15" s="5" t="s">
        <v>490</v>
      </c>
      <c r="E15" s="5" t="s">
        <v>104</v>
      </c>
      <c r="F15" s="5" t="s">
        <v>105</v>
      </c>
    </row>
    <row r="16" customFormat="false" ht="15" hidden="false" customHeight="false" outlineLevel="0" collapsed="false">
      <c r="A16" s="5" t="s">
        <v>491</v>
      </c>
      <c r="B16" s="5" t="s">
        <v>26</v>
      </c>
      <c r="C16" s="5" t="s">
        <v>462</v>
      </c>
      <c r="D16" s="5" t="s">
        <v>492</v>
      </c>
      <c r="E16" s="5" t="s">
        <v>39</v>
      </c>
      <c r="F16" s="5" t="s">
        <v>40</v>
      </c>
    </row>
    <row r="17" customFormat="false" ht="15" hidden="false" customHeight="false" outlineLevel="0" collapsed="false">
      <c r="A17" s="5" t="s">
        <v>493</v>
      </c>
      <c r="B17" s="5" t="s">
        <v>26</v>
      </c>
      <c r="C17" s="5" t="s">
        <v>462</v>
      </c>
      <c r="D17" s="5" t="s">
        <v>494</v>
      </c>
      <c r="E17" s="5" t="s">
        <v>25</v>
      </c>
      <c r="F17" s="5" t="s">
        <v>28</v>
      </c>
    </row>
    <row r="18" customFormat="false" ht="15" hidden="false" customHeight="false" outlineLevel="0" collapsed="false">
      <c r="A18" s="5" t="s">
        <v>495</v>
      </c>
      <c r="B18" s="5" t="s">
        <v>339</v>
      </c>
      <c r="C18" s="5" t="s">
        <v>462</v>
      </c>
      <c r="D18" s="5" t="s">
        <v>496</v>
      </c>
      <c r="E18" s="5" t="s">
        <v>362</v>
      </c>
      <c r="F18" s="5" t="s">
        <v>363</v>
      </c>
    </row>
    <row r="19" customFormat="false" ht="15" hidden="false" customHeight="false" outlineLevel="0" collapsed="false">
      <c r="A19" s="5" t="s">
        <v>497</v>
      </c>
      <c r="B19" s="5" t="s">
        <v>150</v>
      </c>
      <c r="C19" s="5" t="s">
        <v>462</v>
      </c>
      <c r="D19" s="5" t="s">
        <v>498</v>
      </c>
      <c r="E19" s="5" t="s">
        <v>163</v>
      </c>
      <c r="F19" s="5" t="s">
        <v>164</v>
      </c>
    </row>
    <row r="20" customFormat="false" ht="15" hidden="false" customHeight="false" outlineLevel="0" collapsed="false">
      <c r="A20" s="5" t="s">
        <v>499</v>
      </c>
      <c r="B20" s="5" t="s">
        <v>339</v>
      </c>
      <c r="C20" s="5" t="s">
        <v>462</v>
      </c>
      <c r="D20" s="5" t="s">
        <v>500</v>
      </c>
      <c r="E20" s="5" t="s">
        <v>338</v>
      </c>
      <c r="F20" s="5" t="s">
        <v>340</v>
      </c>
    </row>
    <row r="21" customFormat="false" ht="15" hidden="false" customHeight="false" outlineLevel="0" collapsed="false">
      <c r="A21" s="5" t="s">
        <v>501</v>
      </c>
      <c r="B21" s="5" t="s">
        <v>258</v>
      </c>
      <c r="C21" s="5" t="s">
        <v>462</v>
      </c>
      <c r="D21" s="5" t="s">
        <v>502</v>
      </c>
      <c r="E21" s="5" t="s">
        <v>283</v>
      </c>
      <c r="F21" s="5" t="s">
        <v>284</v>
      </c>
    </row>
    <row r="22" customFormat="false" ht="15" hidden="false" customHeight="false" outlineLevel="0" collapsed="false">
      <c r="A22" s="5" t="s">
        <v>503</v>
      </c>
      <c r="B22" s="5" t="s">
        <v>26</v>
      </c>
      <c r="C22" s="5" t="s">
        <v>475</v>
      </c>
      <c r="D22" s="5" t="s">
        <v>504</v>
      </c>
      <c r="E22" s="5" t="s">
        <v>107</v>
      </c>
      <c r="F22" s="5" t="s">
        <v>108</v>
      </c>
    </row>
    <row r="23" customFormat="false" ht="15" hidden="false" customHeight="false" outlineLevel="0" collapsed="false">
      <c r="A23" s="5" t="s">
        <v>505</v>
      </c>
      <c r="B23" s="5" t="s">
        <v>150</v>
      </c>
      <c r="C23" s="5" t="s">
        <v>462</v>
      </c>
      <c r="D23" s="5" t="s">
        <v>506</v>
      </c>
      <c r="E23" s="5" t="s">
        <v>178</v>
      </c>
      <c r="F23" s="5" t="s">
        <v>179</v>
      </c>
    </row>
    <row r="24" customFormat="false" ht="15" hidden="false" customHeight="false" outlineLevel="0" collapsed="false">
      <c r="A24" s="5" t="s">
        <v>507</v>
      </c>
      <c r="B24" s="5" t="s">
        <v>150</v>
      </c>
      <c r="C24" s="5" t="s">
        <v>462</v>
      </c>
      <c r="D24" s="5" t="s">
        <v>508</v>
      </c>
      <c r="E24" s="5" t="s">
        <v>181</v>
      </c>
      <c r="F24" s="5" t="s">
        <v>182</v>
      </c>
    </row>
    <row r="25" customFormat="false" ht="15" hidden="false" customHeight="false" outlineLevel="0" collapsed="false">
      <c r="A25" s="5" t="s">
        <v>509</v>
      </c>
      <c r="B25" s="5" t="s">
        <v>339</v>
      </c>
      <c r="C25" s="5" t="s">
        <v>462</v>
      </c>
      <c r="D25" s="5" t="s">
        <v>510</v>
      </c>
      <c r="E25" s="5" t="s">
        <v>385</v>
      </c>
      <c r="F25" s="5" t="s">
        <v>386</v>
      </c>
    </row>
    <row r="26" customFormat="false" ht="15" hidden="false" customHeight="false" outlineLevel="0" collapsed="false">
      <c r="A26" s="5" t="s">
        <v>511</v>
      </c>
      <c r="B26" s="5" t="s">
        <v>26</v>
      </c>
      <c r="C26" s="5" t="s">
        <v>475</v>
      </c>
      <c r="D26" s="5" t="s">
        <v>512</v>
      </c>
      <c r="E26" s="5" t="s">
        <v>110</v>
      </c>
      <c r="F26" s="5" t="s">
        <v>111</v>
      </c>
    </row>
    <row r="27" customFormat="false" ht="15" hidden="false" customHeight="false" outlineLevel="0" collapsed="false">
      <c r="A27" s="5" t="s">
        <v>513</v>
      </c>
      <c r="B27" s="5" t="s">
        <v>150</v>
      </c>
      <c r="C27" s="5" t="s">
        <v>462</v>
      </c>
      <c r="D27" s="5" t="s">
        <v>514</v>
      </c>
      <c r="E27" s="5" t="s">
        <v>184</v>
      </c>
      <c r="F27" s="5" t="s">
        <v>185</v>
      </c>
    </row>
    <row r="28" customFormat="false" ht="15" hidden="false" customHeight="false" outlineLevel="0" collapsed="false">
      <c r="A28" s="5" t="s">
        <v>515</v>
      </c>
      <c r="B28" s="5" t="s">
        <v>339</v>
      </c>
      <c r="C28" s="5" t="s">
        <v>462</v>
      </c>
      <c r="D28" s="5" t="s">
        <v>516</v>
      </c>
      <c r="E28" s="5" t="s">
        <v>428</v>
      </c>
      <c r="F28" s="5" t="s">
        <v>429</v>
      </c>
    </row>
    <row r="29" customFormat="false" ht="15" hidden="false" customHeight="false" outlineLevel="0" collapsed="false">
      <c r="A29" s="5" t="s">
        <v>517</v>
      </c>
      <c r="B29" s="5" t="s">
        <v>339</v>
      </c>
      <c r="C29" s="5" t="s">
        <v>462</v>
      </c>
      <c r="D29" s="5" t="s">
        <v>518</v>
      </c>
      <c r="E29" s="5" t="s">
        <v>408</v>
      </c>
      <c r="F29" s="5" t="s">
        <v>409</v>
      </c>
    </row>
    <row r="30" customFormat="false" ht="15" hidden="false" customHeight="false" outlineLevel="0" collapsed="false">
      <c r="A30" s="5" t="s">
        <v>519</v>
      </c>
      <c r="B30" s="5" t="s">
        <v>339</v>
      </c>
      <c r="C30" s="5" t="s">
        <v>462</v>
      </c>
      <c r="D30" s="5" t="s">
        <v>520</v>
      </c>
      <c r="E30" s="5" t="s">
        <v>382</v>
      </c>
      <c r="F30" s="5" t="s">
        <v>383</v>
      </c>
    </row>
    <row r="31" customFormat="false" ht="15" hidden="false" customHeight="false" outlineLevel="0" collapsed="false">
      <c r="A31" s="5" t="s">
        <v>521</v>
      </c>
      <c r="B31" s="5" t="s">
        <v>26</v>
      </c>
      <c r="C31" s="5" t="s">
        <v>462</v>
      </c>
      <c r="D31" s="5" t="s">
        <v>522</v>
      </c>
      <c r="E31" s="5" t="s">
        <v>48</v>
      </c>
      <c r="F31" s="5" t="s">
        <v>49</v>
      </c>
    </row>
    <row r="32" customFormat="false" ht="15" hidden="false" customHeight="false" outlineLevel="0" collapsed="false">
      <c r="A32" s="5" t="s">
        <v>523</v>
      </c>
      <c r="B32" s="5" t="s">
        <v>258</v>
      </c>
      <c r="C32" s="5" t="s">
        <v>462</v>
      </c>
      <c r="D32" s="5" t="s">
        <v>524</v>
      </c>
      <c r="E32" s="5" t="s">
        <v>274</v>
      </c>
      <c r="F32" s="5" t="s">
        <v>275</v>
      </c>
    </row>
    <row r="33" customFormat="false" ht="15" hidden="false" customHeight="false" outlineLevel="0" collapsed="false">
      <c r="A33" s="5" t="s">
        <v>525</v>
      </c>
      <c r="B33" s="5" t="s">
        <v>26</v>
      </c>
      <c r="C33" s="5" t="s">
        <v>475</v>
      </c>
      <c r="D33" s="5" t="s">
        <v>526</v>
      </c>
      <c r="E33" s="5" t="s">
        <v>113</v>
      </c>
      <c r="F33" s="5" t="s">
        <v>114</v>
      </c>
    </row>
    <row r="34" customFormat="false" ht="15" hidden="false" customHeight="false" outlineLevel="0" collapsed="false">
      <c r="A34" s="5" t="s">
        <v>527</v>
      </c>
      <c r="B34" s="5" t="s">
        <v>26</v>
      </c>
      <c r="C34" s="5" t="s">
        <v>462</v>
      </c>
      <c r="D34" s="5" t="s">
        <v>528</v>
      </c>
      <c r="E34" s="5" t="s">
        <v>51</v>
      </c>
      <c r="F34" s="5" t="s">
        <v>52</v>
      </c>
    </row>
    <row r="35" customFormat="false" ht="15" hidden="false" customHeight="false" outlineLevel="0" collapsed="false">
      <c r="A35" s="5" t="s">
        <v>529</v>
      </c>
      <c r="B35" s="5" t="s">
        <v>258</v>
      </c>
      <c r="C35" s="5" t="s">
        <v>462</v>
      </c>
      <c r="D35" s="5" t="s">
        <v>530</v>
      </c>
      <c r="E35" s="5" t="s">
        <v>268</v>
      </c>
      <c r="F35" s="5" t="s">
        <v>269</v>
      </c>
    </row>
    <row r="36" customFormat="false" ht="15" hidden="false" customHeight="false" outlineLevel="0" collapsed="false">
      <c r="A36" s="5" t="s">
        <v>531</v>
      </c>
      <c r="B36" s="5" t="s">
        <v>258</v>
      </c>
      <c r="C36" s="5" t="s">
        <v>462</v>
      </c>
      <c r="D36" s="5" t="s">
        <v>532</v>
      </c>
      <c r="E36" s="5" t="s">
        <v>265</v>
      </c>
      <c r="F36" s="5" t="s">
        <v>266</v>
      </c>
    </row>
    <row r="37" customFormat="false" ht="15" hidden="false" customHeight="false" outlineLevel="0" collapsed="false">
      <c r="A37" s="5" t="s">
        <v>533</v>
      </c>
      <c r="B37" s="5" t="s">
        <v>339</v>
      </c>
      <c r="C37" s="5" t="s">
        <v>462</v>
      </c>
      <c r="D37" s="5" t="s">
        <v>534</v>
      </c>
      <c r="E37" s="5" t="s">
        <v>349</v>
      </c>
      <c r="F37" s="5" t="s">
        <v>350</v>
      </c>
    </row>
    <row r="38" customFormat="false" ht="15" hidden="false" customHeight="false" outlineLevel="0" collapsed="false">
      <c r="A38" s="5" t="s">
        <v>535</v>
      </c>
      <c r="B38" s="5" t="s">
        <v>26</v>
      </c>
      <c r="C38" s="5" t="s">
        <v>475</v>
      </c>
      <c r="D38" s="5" t="s">
        <v>536</v>
      </c>
      <c r="E38" s="5" t="s">
        <v>116</v>
      </c>
      <c r="F38" s="5" t="s">
        <v>117</v>
      </c>
    </row>
    <row r="39" customFormat="false" ht="15" hidden="false" customHeight="false" outlineLevel="0" collapsed="false">
      <c r="A39" s="5" t="s">
        <v>537</v>
      </c>
      <c r="B39" s="5" t="s">
        <v>150</v>
      </c>
      <c r="C39" s="5" t="s">
        <v>462</v>
      </c>
      <c r="D39" s="5" t="s">
        <v>538</v>
      </c>
      <c r="E39" s="5" t="s">
        <v>202</v>
      </c>
      <c r="F39" s="5" t="s">
        <v>203</v>
      </c>
    </row>
    <row r="40" customFormat="false" ht="15" hidden="false" customHeight="false" outlineLevel="0" collapsed="false">
      <c r="A40" s="5" t="s">
        <v>539</v>
      </c>
      <c r="B40" s="5" t="s">
        <v>339</v>
      </c>
      <c r="C40" s="5" t="s">
        <v>462</v>
      </c>
      <c r="D40" s="5" t="s">
        <v>540</v>
      </c>
      <c r="E40" s="5" t="s">
        <v>402</v>
      </c>
      <c r="F40" s="5" t="s">
        <v>403</v>
      </c>
    </row>
    <row r="41" customFormat="false" ht="15" hidden="false" customHeight="false" outlineLevel="0" collapsed="false">
      <c r="A41" s="5" t="s">
        <v>541</v>
      </c>
      <c r="B41" s="5" t="s">
        <v>150</v>
      </c>
      <c r="C41" s="5" t="s">
        <v>462</v>
      </c>
      <c r="D41" s="5" t="s">
        <v>542</v>
      </c>
      <c r="E41" s="5" t="s">
        <v>218</v>
      </c>
      <c r="F41" s="5" t="s">
        <v>219</v>
      </c>
    </row>
    <row r="42" customFormat="false" ht="15" hidden="false" customHeight="false" outlineLevel="0" collapsed="false">
      <c r="A42" s="5" t="s">
        <v>543</v>
      </c>
      <c r="B42" s="5" t="s">
        <v>258</v>
      </c>
      <c r="C42" s="5" t="s">
        <v>462</v>
      </c>
      <c r="D42" s="5" t="s">
        <v>544</v>
      </c>
      <c r="E42" s="5" t="s">
        <v>298</v>
      </c>
      <c r="F42" s="5" t="s">
        <v>299</v>
      </c>
    </row>
    <row r="43" customFormat="false" ht="15" hidden="false" customHeight="false" outlineLevel="0" collapsed="false">
      <c r="A43" s="5" t="s">
        <v>545</v>
      </c>
      <c r="B43" s="5" t="s">
        <v>26</v>
      </c>
      <c r="C43" s="5" t="s">
        <v>462</v>
      </c>
      <c r="D43" s="5" t="s">
        <v>546</v>
      </c>
      <c r="E43" s="5" t="s">
        <v>69</v>
      </c>
      <c r="F43" s="5" t="s">
        <v>70</v>
      </c>
    </row>
    <row r="44" customFormat="false" ht="15" hidden="false" customHeight="false" outlineLevel="0" collapsed="false">
      <c r="A44" s="5" t="s">
        <v>547</v>
      </c>
      <c r="B44" s="5" t="s">
        <v>258</v>
      </c>
      <c r="C44" s="5" t="s">
        <v>462</v>
      </c>
      <c r="D44" s="5" t="s">
        <v>548</v>
      </c>
      <c r="E44" s="5" t="s">
        <v>286</v>
      </c>
      <c r="F44" s="5" t="s">
        <v>287</v>
      </c>
    </row>
    <row r="45" customFormat="false" ht="15" hidden="false" customHeight="false" outlineLevel="0" collapsed="false">
      <c r="A45" s="5" t="s">
        <v>549</v>
      </c>
      <c r="B45" s="5" t="s">
        <v>150</v>
      </c>
      <c r="C45" s="5" t="s">
        <v>462</v>
      </c>
      <c r="D45" s="5" t="s">
        <v>550</v>
      </c>
      <c r="E45" s="5" t="s">
        <v>166</v>
      </c>
      <c r="F45" s="5" t="s">
        <v>167</v>
      </c>
    </row>
    <row r="46" customFormat="false" ht="15" hidden="false" customHeight="false" outlineLevel="0" collapsed="false">
      <c r="A46" s="5" t="s">
        <v>551</v>
      </c>
      <c r="B46" s="5" t="s">
        <v>26</v>
      </c>
      <c r="C46" s="5" t="s">
        <v>462</v>
      </c>
      <c r="D46" s="5" t="s">
        <v>552</v>
      </c>
      <c r="E46" s="5" t="s">
        <v>60</v>
      </c>
      <c r="F46" s="5" t="s">
        <v>61</v>
      </c>
    </row>
    <row r="47" customFormat="false" ht="15" hidden="false" customHeight="false" outlineLevel="0" collapsed="false">
      <c r="A47" s="5" t="s">
        <v>553</v>
      </c>
      <c r="B47" s="5" t="s">
        <v>339</v>
      </c>
      <c r="C47" s="5" t="s">
        <v>462</v>
      </c>
      <c r="D47" s="5" t="s">
        <v>554</v>
      </c>
      <c r="E47" s="5" t="s">
        <v>355</v>
      </c>
      <c r="F47" s="5" t="s">
        <v>356</v>
      </c>
    </row>
    <row r="48" customFormat="false" ht="15" hidden="false" customHeight="false" outlineLevel="0" collapsed="false">
      <c r="A48" s="5" t="s">
        <v>555</v>
      </c>
      <c r="B48" s="5" t="s">
        <v>258</v>
      </c>
      <c r="C48" s="5" t="s">
        <v>462</v>
      </c>
      <c r="D48" s="5" t="s">
        <v>556</v>
      </c>
      <c r="E48" s="5" t="s">
        <v>262</v>
      </c>
      <c r="F48" s="5" t="s">
        <v>263</v>
      </c>
    </row>
    <row r="49" customFormat="false" ht="15" hidden="false" customHeight="false" outlineLevel="0" collapsed="false">
      <c r="A49" s="5" t="s">
        <v>557</v>
      </c>
      <c r="B49" s="5" t="s">
        <v>258</v>
      </c>
      <c r="C49" s="5" t="s">
        <v>462</v>
      </c>
      <c r="D49" s="5" t="s">
        <v>558</v>
      </c>
      <c r="E49" s="5" t="s">
        <v>271</v>
      </c>
      <c r="F49" s="5" t="s">
        <v>272</v>
      </c>
    </row>
    <row r="50" customFormat="false" ht="15" hidden="false" customHeight="false" outlineLevel="0" collapsed="false">
      <c r="A50" s="5" t="s">
        <v>559</v>
      </c>
      <c r="B50" s="5" t="s">
        <v>150</v>
      </c>
      <c r="C50" s="5" t="s">
        <v>462</v>
      </c>
      <c r="D50" s="5" t="s">
        <v>560</v>
      </c>
      <c r="E50" s="5" t="s">
        <v>172</v>
      </c>
      <c r="F50" s="5" t="s">
        <v>173</v>
      </c>
    </row>
    <row r="51" customFormat="false" ht="15" hidden="false" customHeight="false" outlineLevel="0" collapsed="false">
      <c r="A51" s="5" t="s">
        <v>561</v>
      </c>
      <c r="B51" s="5" t="s">
        <v>339</v>
      </c>
      <c r="C51" s="5" t="s">
        <v>462</v>
      </c>
      <c r="D51" s="5" t="s">
        <v>562</v>
      </c>
      <c r="E51" s="5" t="s">
        <v>422</v>
      </c>
      <c r="F51" s="5" t="s">
        <v>423</v>
      </c>
    </row>
    <row r="52" customFormat="false" ht="15" hidden="false" customHeight="false" outlineLevel="0" collapsed="false">
      <c r="A52" s="5" t="s">
        <v>563</v>
      </c>
      <c r="B52" s="5" t="s">
        <v>26</v>
      </c>
      <c r="C52" s="5" t="s">
        <v>475</v>
      </c>
      <c r="D52" s="5" t="s">
        <v>564</v>
      </c>
      <c r="E52" s="5" t="s">
        <v>119</v>
      </c>
      <c r="F52" s="5" t="s">
        <v>120</v>
      </c>
    </row>
    <row r="53" customFormat="false" ht="15" hidden="false" customHeight="false" outlineLevel="0" collapsed="false">
      <c r="A53" s="5" t="s">
        <v>565</v>
      </c>
      <c r="B53" s="5" t="s">
        <v>150</v>
      </c>
      <c r="C53" s="5" t="s">
        <v>462</v>
      </c>
      <c r="D53" s="5" t="s">
        <v>566</v>
      </c>
      <c r="E53" s="5" t="s">
        <v>175</v>
      </c>
      <c r="F53" s="5" t="s">
        <v>176</v>
      </c>
    </row>
    <row r="54" customFormat="false" ht="15" hidden="false" customHeight="false" outlineLevel="0" collapsed="false">
      <c r="A54" s="5" t="s">
        <v>567</v>
      </c>
      <c r="B54" s="5" t="s">
        <v>150</v>
      </c>
      <c r="C54" s="5" t="s">
        <v>462</v>
      </c>
      <c r="D54" s="5" t="s">
        <v>568</v>
      </c>
      <c r="E54" s="5" t="s">
        <v>224</v>
      </c>
      <c r="F54" s="5" t="s">
        <v>225</v>
      </c>
    </row>
    <row r="55" customFormat="false" ht="15" hidden="false" customHeight="false" outlineLevel="0" collapsed="false">
      <c r="A55" s="5" t="s">
        <v>569</v>
      </c>
      <c r="B55" s="5" t="s">
        <v>258</v>
      </c>
      <c r="C55" s="5" t="s">
        <v>462</v>
      </c>
      <c r="D55" s="5" t="s">
        <v>570</v>
      </c>
      <c r="E55" s="5" t="s">
        <v>277</v>
      </c>
      <c r="F55" s="5" t="s">
        <v>278</v>
      </c>
    </row>
    <row r="56" customFormat="false" ht="15" hidden="false" customHeight="false" outlineLevel="0" collapsed="false">
      <c r="A56" s="5" t="s">
        <v>571</v>
      </c>
      <c r="B56" s="5" t="s">
        <v>26</v>
      </c>
      <c r="C56" s="5" t="s">
        <v>462</v>
      </c>
      <c r="D56" s="5" t="s">
        <v>572</v>
      </c>
      <c r="E56" s="5" t="s">
        <v>45</v>
      </c>
      <c r="F56" s="5" t="s">
        <v>46</v>
      </c>
    </row>
    <row r="57" customFormat="false" ht="15" hidden="false" customHeight="false" outlineLevel="0" collapsed="false">
      <c r="A57" s="5" t="s">
        <v>573</v>
      </c>
      <c r="B57" s="5" t="s">
        <v>26</v>
      </c>
      <c r="C57" s="5" t="s">
        <v>462</v>
      </c>
      <c r="D57" s="5" t="s">
        <v>574</v>
      </c>
      <c r="E57" s="5" t="s">
        <v>42</v>
      </c>
      <c r="F57" s="5" t="s">
        <v>43</v>
      </c>
    </row>
    <row r="58" customFormat="false" ht="15" hidden="false" customHeight="false" outlineLevel="0" collapsed="false">
      <c r="A58" s="5" t="s">
        <v>575</v>
      </c>
      <c r="B58" s="5" t="s">
        <v>26</v>
      </c>
      <c r="C58" s="5" t="s">
        <v>475</v>
      </c>
      <c r="D58" s="5" t="s">
        <v>576</v>
      </c>
      <c r="E58" s="5" t="s">
        <v>122</v>
      </c>
      <c r="F58" s="5" t="s">
        <v>123</v>
      </c>
    </row>
    <row r="59" customFormat="false" ht="15" hidden="false" customHeight="false" outlineLevel="0" collapsed="false">
      <c r="A59" s="5" t="s">
        <v>577</v>
      </c>
      <c r="B59" s="5" t="s">
        <v>26</v>
      </c>
      <c r="C59" s="5" t="s">
        <v>475</v>
      </c>
      <c r="D59" s="5" t="s">
        <v>578</v>
      </c>
      <c r="E59" s="5" t="s">
        <v>125</v>
      </c>
      <c r="F59" s="5" t="s">
        <v>126</v>
      </c>
    </row>
    <row r="60" customFormat="false" ht="15" hidden="false" customHeight="false" outlineLevel="0" collapsed="false">
      <c r="A60" s="5" t="s">
        <v>579</v>
      </c>
      <c r="B60" s="5" t="s">
        <v>150</v>
      </c>
      <c r="C60" s="5" t="s">
        <v>462</v>
      </c>
      <c r="D60" s="5" t="s">
        <v>580</v>
      </c>
      <c r="E60" s="5" t="s">
        <v>169</v>
      </c>
      <c r="F60" s="5" t="s">
        <v>170</v>
      </c>
    </row>
    <row r="61" customFormat="false" ht="15" hidden="false" customHeight="false" outlineLevel="0" collapsed="false">
      <c r="A61" s="5" t="s">
        <v>581</v>
      </c>
      <c r="B61" s="5" t="s">
        <v>339</v>
      </c>
      <c r="C61" s="5" t="s">
        <v>462</v>
      </c>
      <c r="D61" s="5" t="s">
        <v>582</v>
      </c>
      <c r="E61" s="5" t="s">
        <v>431</v>
      </c>
      <c r="F61" s="5" t="s">
        <v>432</v>
      </c>
    </row>
    <row r="62" customFormat="false" ht="15" hidden="false" customHeight="false" outlineLevel="0" collapsed="false">
      <c r="A62" s="5" t="s">
        <v>583</v>
      </c>
      <c r="B62" s="5" t="s">
        <v>339</v>
      </c>
      <c r="C62" s="5" t="s">
        <v>462</v>
      </c>
      <c r="D62" s="5" t="s">
        <v>584</v>
      </c>
      <c r="E62" s="5" t="s">
        <v>425</v>
      </c>
      <c r="F62" s="5" t="s">
        <v>426</v>
      </c>
    </row>
    <row r="63" customFormat="false" ht="15" hidden="false" customHeight="false" outlineLevel="0" collapsed="false">
      <c r="A63" s="5" t="s">
        <v>585</v>
      </c>
      <c r="B63" s="5" t="s">
        <v>339</v>
      </c>
      <c r="C63" s="5" t="s">
        <v>462</v>
      </c>
      <c r="D63" s="5" t="s">
        <v>586</v>
      </c>
      <c r="E63" s="5" t="s">
        <v>434</v>
      </c>
      <c r="F63" s="5" t="s">
        <v>435</v>
      </c>
    </row>
    <row r="64" customFormat="false" ht="15" hidden="false" customHeight="false" outlineLevel="0" collapsed="false">
      <c r="A64" s="5" t="s">
        <v>587</v>
      </c>
      <c r="B64" s="5" t="s">
        <v>339</v>
      </c>
      <c r="C64" s="5" t="s">
        <v>462</v>
      </c>
      <c r="D64" s="5" t="s">
        <v>588</v>
      </c>
      <c r="E64" s="5" t="s">
        <v>369</v>
      </c>
      <c r="F64" s="5" t="s">
        <v>370</v>
      </c>
    </row>
    <row r="65" customFormat="false" ht="15" hidden="false" customHeight="false" outlineLevel="0" collapsed="false">
      <c r="A65" s="5" t="s">
        <v>589</v>
      </c>
      <c r="B65" s="5" t="s">
        <v>258</v>
      </c>
      <c r="C65" s="5" t="s">
        <v>462</v>
      </c>
      <c r="D65" s="5" t="s">
        <v>590</v>
      </c>
      <c r="E65" s="5" t="s">
        <v>280</v>
      </c>
      <c r="F65" s="5" t="s">
        <v>281</v>
      </c>
    </row>
    <row r="66" customFormat="false" ht="15" hidden="false" customHeight="false" outlineLevel="0" collapsed="false">
      <c r="A66" s="5" t="s">
        <v>591</v>
      </c>
      <c r="B66" s="5" t="s">
        <v>150</v>
      </c>
      <c r="C66" s="5" t="s">
        <v>462</v>
      </c>
      <c r="D66" s="5" t="s">
        <v>592</v>
      </c>
      <c r="E66" s="5" t="s">
        <v>206</v>
      </c>
      <c r="F66" s="5" t="s">
        <v>207</v>
      </c>
    </row>
    <row r="67" customFormat="false" ht="15" hidden="false" customHeight="false" outlineLevel="0" collapsed="false">
      <c r="A67" s="5" t="s">
        <v>593</v>
      </c>
      <c r="B67" s="5" t="s">
        <v>339</v>
      </c>
      <c r="C67" s="5" t="s">
        <v>462</v>
      </c>
      <c r="D67" s="5" t="s">
        <v>594</v>
      </c>
      <c r="E67" s="5" t="s">
        <v>379</v>
      </c>
      <c r="F67" s="5" t="s">
        <v>380</v>
      </c>
    </row>
    <row r="68" customFormat="false" ht="15" hidden="false" customHeight="false" outlineLevel="0" collapsed="false">
      <c r="A68" s="5" t="s">
        <v>595</v>
      </c>
      <c r="B68" s="5" t="s">
        <v>150</v>
      </c>
      <c r="C68" s="5" t="s">
        <v>462</v>
      </c>
      <c r="D68" s="5" t="s">
        <v>596</v>
      </c>
      <c r="E68" s="5" t="s">
        <v>196</v>
      </c>
      <c r="F68" s="5" t="s">
        <v>197</v>
      </c>
    </row>
    <row r="69" customFormat="false" ht="15" hidden="false" customHeight="false" outlineLevel="0" collapsed="false">
      <c r="A69" s="5" t="s">
        <v>597</v>
      </c>
      <c r="B69" s="5" t="s">
        <v>26</v>
      </c>
      <c r="C69" s="5" t="s">
        <v>475</v>
      </c>
      <c r="D69" s="5" t="s">
        <v>598</v>
      </c>
      <c r="E69" s="5" t="s">
        <v>128</v>
      </c>
      <c r="F69" s="5" t="s">
        <v>129</v>
      </c>
    </row>
    <row r="70" customFormat="false" ht="15" hidden="false" customHeight="false" outlineLevel="0" collapsed="false">
      <c r="A70" s="5" t="s">
        <v>599</v>
      </c>
      <c r="B70" s="5" t="s">
        <v>258</v>
      </c>
      <c r="C70" s="5" t="s">
        <v>462</v>
      </c>
      <c r="D70" s="5" t="s">
        <v>600</v>
      </c>
      <c r="E70" s="5" t="s">
        <v>295</v>
      </c>
      <c r="F70" s="5" t="s">
        <v>296</v>
      </c>
    </row>
    <row r="71" customFormat="false" ht="15" hidden="false" customHeight="false" outlineLevel="0" collapsed="false">
      <c r="A71" s="5" t="s">
        <v>601</v>
      </c>
      <c r="B71" s="5" t="s">
        <v>26</v>
      </c>
      <c r="C71" s="5" t="s">
        <v>475</v>
      </c>
      <c r="D71" s="5" t="s">
        <v>602</v>
      </c>
      <c r="E71" s="5" t="s">
        <v>131</v>
      </c>
      <c r="F71" s="5" t="s">
        <v>132</v>
      </c>
    </row>
    <row r="72" customFormat="false" ht="15" hidden="false" customHeight="false" outlineLevel="0" collapsed="false">
      <c r="A72" s="5" t="s">
        <v>603</v>
      </c>
      <c r="B72" s="5" t="s">
        <v>26</v>
      </c>
      <c r="C72" s="5" t="s">
        <v>462</v>
      </c>
      <c r="D72" s="5" t="s">
        <v>604</v>
      </c>
      <c r="E72" s="5" t="s">
        <v>57</v>
      </c>
      <c r="F72" s="5" t="s">
        <v>58</v>
      </c>
    </row>
    <row r="73" customFormat="false" ht="15" hidden="false" customHeight="false" outlineLevel="0" collapsed="false">
      <c r="A73" s="5" t="s">
        <v>605</v>
      </c>
      <c r="B73" s="5" t="s">
        <v>26</v>
      </c>
      <c r="C73" s="5" t="s">
        <v>475</v>
      </c>
      <c r="D73" s="5" t="s">
        <v>606</v>
      </c>
      <c r="E73" s="5" t="s">
        <v>134</v>
      </c>
      <c r="F73" s="5" t="s">
        <v>135</v>
      </c>
    </row>
    <row r="74" customFormat="false" ht="15" hidden="false" customHeight="false" outlineLevel="0" collapsed="false">
      <c r="A74" s="5" t="s">
        <v>607</v>
      </c>
      <c r="B74" s="5" t="s">
        <v>258</v>
      </c>
      <c r="C74" s="5" t="s">
        <v>462</v>
      </c>
      <c r="D74" s="5" t="s">
        <v>608</v>
      </c>
      <c r="E74" s="5" t="s">
        <v>289</v>
      </c>
      <c r="F74" s="5" t="s">
        <v>290</v>
      </c>
    </row>
    <row r="75" customFormat="false" ht="15" hidden="false" customHeight="false" outlineLevel="0" collapsed="false">
      <c r="A75" s="5" t="s">
        <v>609</v>
      </c>
      <c r="B75" s="5" t="s">
        <v>339</v>
      </c>
      <c r="C75" s="5" t="s">
        <v>462</v>
      </c>
      <c r="D75" s="5" t="s">
        <v>610</v>
      </c>
      <c r="E75" s="5" t="s">
        <v>414</v>
      </c>
      <c r="F75" s="5" t="s">
        <v>415</v>
      </c>
    </row>
    <row r="76" customFormat="false" ht="15" hidden="false" customHeight="false" outlineLevel="0" collapsed="false">
      <c r="A76" s="5" t="s">
        <v>611</v>
      </c>
      <c r="B76" s="5" t="s">
        <v>26</v>
      </c>
      <c r="C76" s="5" t="s">
        <v>462</v>
      </c>
      <c r="D76" s="5" t="s">
        <v>612</v>
      </c>
      <c r="E76" s="5" t="s">
        <v>36</v>
      </c>
      <c r="F76" s="5" t="s">
        <v>37</v>
      </c>
    </row>
    <row r="77" customFormat="false" ht="15" hidden="false" customHeight="false" outlineLevel="0" collapsed="false">
      <c r="A77" s="5" t="s">
        <v>613</v>
      </c>
      <c r="B77" s="5" t="s">
        <v>26</v>
      </c>
      <c r="C77" s="5" t="s">
        <v>462</v>
      </c>
      <c r="D77" s="5" t="s">
        <v>614</v>
      </c>
      <c r="E77" s="5" t="s">
        <v>54</v>
      </c>
      <c r="F77" s="5" t="s">
        <v>55</v>
      </c>
    </row>
    <row r="78" customFormat="false" ht="15" hidden="false" customHeight="false" outlineLevel="0" collapsed="false">
      <c r="A78" s="5" t="s">
        <v>615</v>
      </c>
      <c r="B78" s="5" t="s">
        <v>150</v>
      </c>
      <c r="C78" s="5" t="s">
        <v>462</v>
      </c>
      <c r="D78" s="5" t="s">
        <v>616</v>
      </c>
      <c r="E78" s="5" t="s">
        <v>215</v>
      </c>
      <c r="F78" s="5" t="s">
        <v>216</v>
      </c>
    </row>
    <row r="79" customFormat="false" ht="15" hidden="false" customHeight="false" outlineLevel="0" collapsed="false">
      <c r="A79" s="5" t="s">
        <v>617</v>
      </c>
      <c r="B79" s="5" t="s">
        <v>339</v>
      </c>
      <c r="C79" s="5" t="s">
        <v>462</v>
      </c>
      <c r="D79" s="5" t="s">
        <v>618</v>
      </c>
      <c r="E79" s="5" t="s">
        <v>352</v>
      </c>
      <c r="F79" s="5" t="s">
        <v>353</v>
      </c>
    </row>
    <row r="80" customFormat="false" ht="15" hidden="false" customHeight="false" outlineLevel="0" collapsed="false">
      <c r="A80" s="5" t="s">
        <v>619</v>
      </c>
      <c r="B80" s="5" t="s">
        <v>150</v>
      </c>
      <c r="C80" s="5" t="s">
        <v>462</v>
      </c>
      <c r="D80" s="5" t="s">
        <v>620</v>
      </c>
      <c r="E80" s="5" t="s">
        <v>199</v>
      </c>
      <c r="F80" s="5" t="s">
        <v>200</v>
      </c>
    </row>
    <row r="81" customFormat="false" ht="15" hidden="false" customHeight="false" outlineLevel="0" collapsed="false">
      <c r="A81" s="5" t="s">
        <v>621</v>
      </c>
      <c r="B81" s="5" t="s">
        <v>258</v>
      </c>
      <c r="C81" s="5" t="s">
        <v>462</v>
      </c>
      <c r="D81" s="5" t="s">
        <v>622</v>
      </c>
      <c r="E81" s="5" t="s">
        <v>292</v>
      </c>
      <c r="F81" s="5" t="s">
        <v>293</v>
      </c>
    </row>
    <row r="82" customFormat="false" ht="15" hidden="false" customHeight="false" outlineLevel="0" collapsed="false">
      <c r="A82" s="5" t="s">
        <v>623</v>
      </c>
      <c r="B82" s="5" t="s">
        <v>339</v>
      </c>
      <c r="C82" s="5" t="s">
        <v>462</v>
      </c>
      <c r="D82" s="5" t="s">
        <v>624</v>
      </c>
      <c r="E82" s="5" t="s">
        <v>343</v>
      </c>
      <c r="F82" s="5" t="s">
        <v>344</v>
      </c>
    </row>
    <row r="83" customFormat="false" ht="15" hidden="false" customHeight="false" outlineLevel="0" collapsed="false">
      <c r="A83" s="5" t="s">
        <v>625</v>
      </c>
      <c r="B83" s="5" t="s">
        <v>339</v>
      </c>
      <c r="C83" s="5" t="s">
        <v>462</v>
      </c>
      <c r="D83" s="5" t="s">
        <v>626</v>
      </c>
      <c r="E83" s="5" t="s">
        <v>389</v>
      </c>
      <c r="F83" s="5" t="s">
        <v>390</v>
      </c>
    </row>
    <row r="84" customFormat="false" ht="15" hidden="false" customHeight="false" outlineLevel="0" collapsed="false">
      <c r="A84" s="5" t="s">
        <v>627</v>
      </c>
      <c r="B84" s="5" t="s">
        <v>150</v>
      </c>
      <c r="C84" s="5" t="s">
        <v>462</v>
      </c>
      <c r="D84" s="5" t="s">
        <v>628</v>
      </c>
      <c r="E84" s="5" t="s">
        <v>187</v>
      </c>
      <c r="F84" s="5" t="s">
        <v>188</v>
      </c>
    </row>
    <row r="85" customFormat="false" ht="15" hidden="false" customHeight="false" outlineLevel="0" collapsed="false">
      <c r="A85" s="5" t="s">
        <v>629</v>
      </c>
      <c r="B85" s="5" t="s">
        <v>339</v>
      </c>
      <c r="C85" s="5" t="s">
        <v>462</v>
      </c>
      <c r="D85" s="5" t="s">
        <v>630</v>
      </c>
      <c r="E85" s="5" t="s">
        <v>399</v>
      </c>
      <c r="F85" s="5" t="s">
        <v>400</v>
      </c>
    </row>
    <row r="86" customFormat="false" ht="15" hidden="false" customHeight="false" outlineLevel="0" collapsed="false">
      <c r="A86" s="5" t="s">
        <v>631</v>
      </c>
      <c r="B86" s="5" t="s">
        <v>26</v>
      </c>
      <c r="C86" s="5" t="s">
        <v>475</v>
      </c>
      <c r="D86" s="5" t="s">
        <v>632</v>
      </c>
      <c r="E86" s="5" t="s">
        <v>137</v>
      </c>
      <c r="F86" s="5" t="s">
        <v>138</v>
      </c>
    </row>
    <row r="87" customFormat="false" ht="15" hidden="false" customHeight="false" outlineLevel="0" collapsed="false">
      <c r="A87" s="5" t="s">
        <v>633</v>
      </c>
      <c r="B87" s="5" t="s">
        <v>258</v>
      </c>
      <c r="C87" s="5" t="s">
        <v>462</v>
      </c>
      <c r="D87" s="5" t="s">
        <v>634</v>
      </c>
      <c r="E87" s="5" t="s">
        <v>301</v>
      </c>
      <c r="F87" s="5" t="s">
        <v>302</v>
      </c>
    </row>
    <row r="88" customFormat="false" ht="15" hidden="false" customHeight="false" outlineLevel="0" collapsed="false">
      <c r="A88" s="5" t="s">
        <v>635</v>
      </c>
      <c r="B88" s="5" t="s">
        <v>26</v>
      </c>
      <c r="C88" s="5" t="s">
        <v>462</v>
      </c>
      <c r="D88" s="5" t="s">
        <v>636</v>
      </c>
      <c r="E88" s="5" t="s">
        <v>63</v>
      </c>
      <c r="F88" s="5" t="s">
        <v>64</v>
      </c>
    </row>
    <row r="89" customFormat="false" ht="15" hidden="false" customHeight="false" outlineLevel="0" collapsed="false">
      <c r="A89" s="5" t="s">
        <v>637</v>
      </c>
      <c r="B89" s="5" t="s">
        <v>258</v>
      </c>
      <c r="C89" s="5" t="s">
        <v>462</v>
      </c>
      <c r="D89" s="5" t="s">
        <v>638</v>
      </c>
      <c r="E89" s="5" t="s">
        <v>307</v>
      </c>
      <c r="F89" s="5" t="s">
        <v>308</v>
      </c>
    </row>
    <row r="90" customFormat="false" ht="15" hidden="false" customHeight="false" outlineLevel="0" collapsed="false">
      <c r="A90" s="5" t="s">
        <v>639</v>
      </c>
      <c r="B90" s="5" t="s">
        <v>258</v>
      </c>
      <c r="C90" s="5" t="s">
        <v>462</v>
      </c>
      <c r="D90" s="5" t="s">
        <v>640</v>
      </c>
      <c r="E90" s="5" t="s">
        <v>310</v>
      </c>
      <c r="F90" s="5" t="s">
        <v>311</v>
      </c>
    </row>
    <row r="91" customFormat="false" ht="15" hidden="false" customHeight="false" outlineLevel="0" collapsed="false">
      <c r="A91" s="5" t="s">
        <v>641</v>
      </c>
      <c r="B91" s="5" t="s">
        <v>150</v>
      </c>
      <c r="C91" s="5" t="s">
        <v>462</v>
      </c>
      <c r="D91" s="5" t="s">
        <v>642</v>
      </c>
      <c r="E91" s="5" t="s">
        <v>190</v>
      </c>
      <c r="F91" s="5" t="s">
        <v>191</v>
      </c>
    </row>
    <row r="92" customFormat="false" ht="15" hidden="false" customHeight="false" outlineLevel="0" collapsed="false">
      <c r="A92" s="5" t="s">
        <v>643</v>
      </c>
      <c r="B92" s="5" t="s">
        <v>339</v>
      </c>
      <c r="C92" s="5" t="s">
        <v>462</v>
      </c>
      <c r="D92" s="5" t="s">
        <v>644</v>
      </c>
      <c r="E92" s="5" t="s">
        <v>366</v>
      </c>
      <c r="F92" s="5" t="s">
        <v>367</v>
      </c>
    </row>
    <row r="93" customFormat="false" ht="15" hidden="false" customHeight="false" outlineLevel="0" collapsed="false">
      <c r="A93" s="5" t="s">
        <v>645</v>
      </c>
      <c r="B93" s="5" t="s">
        <v>339</v>
      </c>
      <c r="C93" s="5" t="s">
        <v>462</v>
      </c>
      <c r="D93" s="5" t="s">
        <v>646</v>
      </c>
      <c r="E93" s="5" t="s">
        <v>359</v>
      </c>
      <c r="F93" s="5" t="s">
        <v>360</v>
      </c>
    </row>
    <row r="94" customFormat="false" ht="15" hidden="false" customHeight="false" outlineLevel="0" collapsed="false">
      <c r="A94" s="5" t="s">
        <v>647</v>
      </c>
      <c r="B94" s="5" t="s">
        <v>26</v>
      </c>
      <c r="C94" s="5" t="s">
        <v>462</v>
      </c>
      <c r="D94" s="5" t="s">
        <v>648</v>
      </c>
      <c r="E94" s="5" t="s">
        <v>66</v>
      </c>
      <c r="F94" s="5" t="s">
        <v>67</v>
      </c>
    </row>
    <row r="95" customFormat="false" ht="15" hidden="false" customHeight="false" outlineLevel="0" collapsed="false">
      <c r="A95" s="5" t="s">
        <v>649</v>
      </c>
      <c r="B95" s="5" t="s">
        <v>339</v>
      </c>
      <c r="C95" s="5" t="s">
        <v>462</v>
      </c>
      <c r="D95" s="5" t="s">
        <v>650</v>
      </c>
      <c r="E95" s="5" t="s">
        <v>372</v>
      </c>
      <c r="F95" s="5" t="s">
        <v>373</v>
      </c>
    </row>
    <row r="96" customFormat="false" ht="15" hidden="false" customHeight="false" outlineLevel="0" collapsed="false">
      <c r="A96" s="5" t="s">
        <v>651</v>
      </c>
      <c r="B96" s="5" t="s">
        <v>26</v>
      </c>
      <c r="C96" s="5" t="s">
        <v>462</v>
      </c>
      <c r="D96" s="5" t="s">
        <v>652</v>
      </c>
      <c r="E96" s="5" t="s">
        <v>72</v>
      </c>
      <c r="F96" s="5" t="s">
        <v>73</v>
      </c>
    </row>
    <row r="97" customFormat="false" ht="15" hidden="false" customHeight="false" outlineLevel="0" collapsed="false">
      <c r="A97" s="5" t="s">
        <v>653</v>
      </c>
      <c r="B97" s="5" t="s">
        <v>258</v>
      </c>
      <c r="C97" s="5" t="s">
        <v>462</v>
      </c>
      <c r="D97" s="5" t="s">
        <v>654</v>
      </c>
      <c r="E97" s="5" t="s">
        <v>316</v>
      </c>
      <c r="F97" s="5" t="s">
        <v>317</v>
      </c>
    </row>
    <row r="98" customFormat="false" ht="15" hidden="false" customHeight="false" outlineLevel="0" collapsed="false">
      <c r="A98" s="5" t="s">
        <v>655</v>
      </c>
      <c r="B98" s="5" t="s">
        <v>150</v>
      </c>
      <c r="C98" s="5" t="s">
        <v>462</v>
      </c>
      <c r="D98" s="5" t="s">
        <v>656</v>
      </c>
      <c r="E98" s="5" t="s">
        <v>193</v>
      </c>
      <c r="F98" s="5" t="s">
        <v>194</v>
      </c>
    </row>
    <row r="99" customFormat="false" ht="15" hidden="false" customHeight="false" outlineLevel="0" collapsed="false">
      <c r="A99" s="5" t="s">
        <v>657</v>
      </c>
      <c r="B99" s="5" t="s">
        <v>150</v>
      </c>
      <c r="C99" s="5" t="s">
        <v>462</v>
      </c>
      <c r="D99" s="5" t="s">
        <v>658</v>
      </c>
      <c r="E99" s="5" t="s">
        <v>209</v>
      </c>
      <c r="F99" s="5" t="s">
        <v>210</v>
      </c>
    </row>
    <row r="100" customFormat="false" ht="15" hidden="false" customHeight="false" outlineLevel="0" collapsed="false">
      <c r="A100" s="5" t="s">
        <v>659</v>
      </c>
      <c r="B100" s="5" t="s">
        <v>26</v>
      </c>
      <c r="C100" s="5" t="s">
        <v>475</v>
      </c>
      <c r="D100" s="5" t="s">
        <v>660</v>
      </c>
      <c r="E100" s="5" t="s">
        <v>140</v>
      </c>
      <c r="F100" s="5" t="s">
        <v>141</v>
      </c>
    </row>
    <row r="101" customFormat="false" ht="15" hidden="false" customHeight="false" outlineLevel="0" collapsed="false">
      <c r="A101" s="5" t="s">
        <v>661</v>
      </c>
      <c r="B101" s="5" t="s">
        <v>150</v>
      </c>
      <c r="C101" s="5" t="s">
        <v>462</v>
      </c>
      <c r="D101" s="5" t="s">
        <v>662</v>
      </c>
      <c r="E101" s="5" t="s">
        <v>212</v>
      </c>
      <c r="F101" s="5" t="s">
        <v>213</v>
      </c>
    </row>
    <row r="102" customFormat="false" ht="15" hidden="false" customHeight="false" outlineLevel="0" collapsed="false">
      <c r="A102" s="5" t="s">
        <v>663</v>
      </c>
      <c r="B102" s="5" t="s">
        <v>339</v>
      </c>
      <c r="C102" s="5" t="s">
        <v>462</v>
      </c>
      <c r="D102" s="5" t="s">
        <v>664</v>
      </c>
      <c r="E102" s="5" t="s">
        <v>418</v>
      </c>
      <c r="F102" s="5" t="s">
        <v>419</v>
      </c>
    </row>
    <row r="103" customFormat="false" ht="15" hidden="false" customHeight="false" outlineLevel="0" collapsed="false">
      <c r="A103" s="5" t="s">
        <v>665</v>
      </c>
      <c r="B103" s="5" t="s">
        <v>26</v>
      </c>
      <c r="C103" s="5" t="s">
        <v>475</v>
      </c>
      <c r="D103" s="5" t="s">
        <v>666</v>
      </c>
      <c r="E103" s="5" t="s">
        <v>143</v>
      </c>
      <c r="F103" s="5" t="s">
        <v>144</v>
      </c>
    </row>
    <row r="104" customFormat="false" ht="15" hidden="false" customHeight="false" outlineLevel="0" collapsed="false">
      <c r="A104" s="5" t="s">
        <v>667</v>
      </c>
      <c r="B104" s="5" t="s">
        <v>339</v>
      </c>
      <c r="C104" s="5" t="s">
        <v>462</v>
      </c>
      <c r="D104" s="5" t="s">
        <v>668</v>
      </c>
      <c r="E104" s="5" t="s">
        <v>396</v>
      </c>
      <c r="F104" s="5" t="s">
        <v>397</v>
      </c>
    </row>
    <row r="105" customFormat="false" ht="15" hidden="false" customHeight="false" outlineLevel="0" collapsed="false">
      <c r="A105" s="5" t="s">
        <v>669</v>
      </c>
      <c r="B105" s="5" t="s">
        <v>150</v>
      </c>
      <c r="C105" s="5" t="s">
        <v>462</v>
      </c>
      <c r="D105" s="5" t="s">
        <v>670</v>
      </c>
      <c r="E105" s="5" t="s">
        <v>221</v>
      </c>
      <c r="F105" s="5" t="s">
        <v>222</v>
      </c>
    </row>
    <row r="106" customFormat="false" ht="15" hidden="false" customHeight="false" outlineLevel="0" collapsed="false">
      <c r="A106" s="5" t="s">
        <v>671</v>
      </c>
      <c r="B106" s="5" t="s">
        <v>339</v>
      </c>
      <c r="C106" s="5" t="s">
        <v>462</v>
      </c>
      <c r="D106" s="5" t="s">
        <v>672</v>
      </c>
      <c r="E106" s="5" t="s">
        <v>411</v>
      </c>
      <c r="F106" s="5"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s>
  <sheetData>
    <row r="1" customFormat="false" ht="15" hidden="false" customHeight="false" outlineLevel="0" collapsed="false">
      <c r="A1" s="7" t="s">
        <v>673</v>
      </c>
      <c r="B1" s="7" t="s">
        <v>459</v>
      </c>
    </row>
    <row r="2" customFormat="false" ht="15" hidden="false" customHeight="false" outlineLevel="0" collapsed="false">
      <c r="A2" s="8" t="s">
        <v>674</v>
      </c>
      <c r="B2" s="8"/>
    </row>
    <row r="3" customFormat="false" ht="15" hidden="false" customHeight="false" outlineLevel="0" collapsed="false">
      <c r="A3" s="8" t="s">
        <v>461</v>
      </c>
      <c r="B3" s="8" t="s">
        <v>257</v>
      </c>
    </row>
    <row r="4" customFormat="false" ht="15" hidden="false" customHeight="false" outlineLevel="0" collapsed="false">
      <c r="A4" s="8" t="s">
        <v>464</v>
      </c>
      <c r="B4" s="8" t="s">
        <v>375</v>
      </c>
    </row>
    <row r="5" customFormat="false" ht="15" hidden="false" customHeight="false" outlineLevel="0" collapsed="false">
      <c r="A5" s="8" t="s">
        <v>675</v>
      </c>
      <c r="B5" s="8"/>
    </row>
    <row r="6" customFormat="false" ht="15" hidden="false" customHeight="false" outlineLevel="0" collapsed="false">
      <c r="A6" s="8" t="s">
        <v>676</v>
      </c>
      <c r="B6" s="8"/>
    </row>
    <row r="7" customFormat="false" ht="15" hidden="false" customHeight="false" outlineLevel="0" collapsed="false">
      <c r="A7" s="8" t="s">
        <v>677</v>
      </c>
      <c r="B7" s="8"/>
    </row>
    <row r="8" customFormat="false" ht="15" hidden="false" customHeight="false" outlineLevel="0" collapsed="false">
      <c r="A8" s="8" t="s">
        <v>678</v>
      </c>
      <c r="B8" s="8"/>
    </row>
    <row r="9" customFormat="false" ht="15" hidden="false" customHeight="false" outlineLevel="0" collapsed="false">
      <c r="A9" s="8" t="s">
        <v>679</v>
      </c>
      <c r="B9" s="8"/>
    </row>
    <row r="10" customFormat="false" ht="15" hidden="false" customHeight="false" outlineLevel="0" collapsed="false">
      <c r="A10" s="8" t="s">
        <v>466</v>
      </c>
      <c r="B10" s="8" t="s">
        <v>160</v>
      </c>
    </row>
    <row r="11" customFormat="false" ht="15" hidden="false" customHeight="false" outlineLevel="0" collapsed="false">
      <c r="A11" s="8" t="s">
        <v>468</v>
      </c>
      <c r="B11" s="8" t="s">
        <v>32</v>
      </c>
    </row>
    <row r="12" customFormat="false" ht="15" hidden="false" customHeight="false" outlineLevel="0" collapsed="false">
      <c r="A12" s="8" t="s">
        <v>680</v>
      </c>
      <c r="B12" s="8"/>
    </row>
    <row r="13" customFormat="false" ht="15" hidden="false" customHeight="false" outlineLevel="0" collapsed="false">
      <c r="A13" s="8" t="s">
        <v>681</v>
      </c>
      <c r="B13" s="8"/>
    </row>
    <row r="14" customFormat="false" ht="15" hidden="false" customHeight="false" outlineLevel="0" collapsed="false">
      <c r="A14" s="8" t="s">
        <v>682</v>
      </c>
      <c r="B14" s="8"/>
    </row>
    <row r="15" customFormat="false" ht="15" hidden="false" customHeight="false" outlineLevel="0" collapsed="false">
      <c r="A15" s="8" t="s">
        <v>683</v>
      </c>
      <c r="B15" s="8"/>
    </row>
    <row r="16" customFormat="false" ht="15" hidden="false" customHeight="false" outlineLevel="0" collapsed="false">
      <c r="A16" s="8" t="s">
        <v>470</v>
      </c>
      <c r="B16" s="8" t="s">
        <v>313</v>
      </c>
    </row>
    <row r="17" customFormat="false" ht="15" hidden="false" customHeight="false" outlineLevel="0" collapsed="false">
      <c r="A17" s="8" t="s">
        <v>472</v>
      </c>
      <c r="B17" s="8" t="s">
        <v>154</v>
      </c>
    </row>
    <row r="18" customFormat="false" ht="15" hidden="false" customHeight="false" outlineLevel="0" collapsed="false">
      <c r="A18" s="8" t="s">
        <v>474</v>
      </c>
      <c r="B18" s="8" t="s">
        <v>100</v>
      </c>
    </row>
    <row r="19" customFormat="false" ht="15" hidden="false" customHeight="false" outlineLevel="0" collapsed="false">
      <c r="A19" s="8" t="s">
        <v>477</v>
      </c>
      <c r="B19" s="8" t="s">
        <v>157</v>
      </c>
    </row>
    <row r="20" customFormat="false" ht="15" hidden="false" customHeight="false" outlineLevel="0" collapsed="false">
      <c r="A20" s="8" t="s">
        <v>479</v>
      </c>
      <c r="B20" s="8" t="s">
        <v>346</v>
      </c>
    </row>
    <row r="21" customFormat="false" ht="15" hidden="false" customHeight="false" outlineLevel="0" collapsed="false">
      <c r="A21" s="8" t="s">
        <v>481</v>
      </c>
      <c r="B21" s="8" t="s">
        <v>149</v>
      </c>
    </row>
    <row r="22" customFormat="false" ht="15" hidden="false" customHeight="false" outlineLevel="0" collapsed="false">
      <c r="A22" s="8" t="s">
        <v>684</v>
      </c>
      <c r="B22" s="8"/>
    </row>
    <row r="23" customFormat="false" ht="15" hidden="false" customHeight="false" outlineLevel="0" collapsed="false">
      <c r="A23" s="8" t="s">
        <v>483</v>
      </c>
      <c r="B23" s="8" t="s">
        <v>304</v>
      </c>
    </row>
    <row r="24" customFormat="false" ht="15" hidden="false" customHeight="false" outlineLevel="0" collapsed="false">
      <c r="A24" s="8" t="s">
        <v>685</v>
      </c>
      <c r="B24" s="8"/>
    </row>
    <row r="25" customFormat="false" ht="15" hidden="false" customHeight="false" outlineLevel="0" collapsed="false">
      <c r="A25" s="8" t="s">
        <v>485</v>
      </c>
      <c r="B25" s="8" t="s">
        <v>405</v>
      </c>
    </row>
    <row r="26" customFormat="false" ht="15" hidden="false" customHeight="false" outlineLevel="0" collapsed="false">
      <c r="A26" s="8" t="s">
        <v>487</v>
      </c>
      <c r="B26" s="8" t="s">
        <v>393</v>
      </c>
    </row>
    <row r="27" customFormat="false" ht="15" hidden="false" customHeight="false" outlineLevel="0" collapsed="false">
      <c r="A27" s="8" t="s">
        <v>489</v>
      </c>
      <c r="B27" s="8" t="s">
        <v>104</v>
      </c>
    </row>
    <row r="28" customFormat="false" ht="15" hidden="false" customHeight="false" outlineLevel="0" collapsed="false">
      <c r="A28" s="8" t="s">
        <v>686</v>
      </c>
      <c r="B28" s="8"/>
    </row>
    <row r="29" customFormat="false" ht="15" hidden="false" customHeight="false" outlineLevel="0" collapsed="false">
      <c r="A29" s="8" t="s">
        <v>491</v>
      </c>
      <c r="B29" s="8" t="s">
        <v>39</v>
      </c>
    </row>
    <row r="30" customFormat="false" ht="15" hidden="false" customHeight="false" outlineLevel="0" collapsed="false">
      <c r="A30" s="8" t="s">
        <v>687</v>
      </c>
      <c r="B30" s="8"/>
    </row>
    <row r="31" customFormat="false" ht="15" hidden="false" customHeight="false" outlineLevel="0" collapsed="false">
      <c r="A31" s="8" t="s">
        <v>493</v>
      </c>
      <c r="B31" s="8" t="s">
        <v>25</v>
      </c>
    </row>
    <row r="32" customFormat="false" ht="15" hidden="false" customHeight="false" outlineLevel="0" collapsed="false">
      <c r="A32" s="8" t="s">
        <v>688</v>
      </c>
      <c r="B32" s="8"/>
    </row>
    <row r="33" customFormat="false" ht="15" hidden="false" customHeight="false" outlineLevel="0" collapsed="false">
      <c r="A33" s="8" t="s">
        <v>689</v>
      </c>
      <c r="B33" s="8"/>
    </row>
    <row r="34" customFormat="false" ht="15" hidden="false" customHeight="false" outlineLevel="0" collapsed="false">
      <c r="A34" s="8" t="s">
        <v>495</v>
      </c>
      <c r="B34" s="8" t="s">
        <v>362</v>
      </c>
    </row>
    <row r="35" customFormat="false" ht="15" hidden="false" customHeight="false" outlineLevel="0" collapsed="false">
      <c r="A35" s="8" t="s">
        <v>690</v>
      </c>
      <c r="B35" s="8"/>
    </row>
    <row r="36" customFormat="false" ht="15" hidden="false" customHeight="false" outlineLevel="0" collapsed="false">
      <c r="A36" s="8" t="s">
        <v>497</v>
      </c>
      <c r="B36" s="8" t="s">
        <v>163</v>
      </c>
    </row>
    <row r="37" customFormat="false" ht="15" hidden="false" customHeight="false" outlineLevel="0" collapsed="false">
      <c r="A37" s="8" t="s">
        <v>691</v>
      </c>
      <c r="B37" s="8"/>
    </row>
    <row r="38" customFormat="false" ht="15" hidden="false" customHeight="false" outlineLevel="0" collapsed="false">
      <c r="A38" s="8" t="s">
        <v>692</v>
      </c>
      <c r="B38" s="8"/>
    </row>
    <row r="39" customFormat="false" ht="15" hidden="false" customHeight="false" outlineLevel="0" collapsed="false">
      <c r="A39" s="8" t="s">
        <v>499</v>
      </c>
      <c r="B39" s="8" t="s">
        <v>338</v>
      </c>
    </row>
    <row r="40" customFormat="false" ht="15" hidden="false" customHeight="false" outlineLevel="0" collapsed="false">
      <c r="A40" s="8" t="s">
        <v>501</v>
      </c>
      <c r="B40" s="8" t="s">
        <v>283</v>
      </c>
    </row>
    <row r="41" customFormat="false" ht="15" hidden="false" customHeight="false" outlineLevel="0" collapsed="false">
      <c r="A41" s="8" t="s">
        <v>503</v>
      </c>
      <c r="B41" s="8" t="s">
        <v>107</v>
      </c>
    </row>
    <row r="42" customFormat="false" ht="15" hidden="false" customHeight="false" outlineLevel="0" collapsed="false">
      <c r="A42" s="8" t="s">
        <v>505</v>
      </c>
      <c r="B42" s="8" t="s">
        <v>178</v>
      </c>
    </row>
    <row r="43" customFormat="false" ht="15" hidden="false" customHeight="false" outlineLevel="0" collapsed="false">
      <c r="A43" s="8" t="s">
        <v>693</v>
      </c>
      <c r="B43" s="8"/>
    </row>
    <row r="44" customFormat="false" ht="15" hidden="false" customHeight="false" outlineLevel="0" collapsed="false">
      <c r="A44" s="8" t="s">
        <v>507</v>
      </c>
      <c r="B44" s="8" t="s">
        <v>181</v>
      </c>
    </row>
    <row r="45" customFormat="false" ht="15" hidden="false" customHeight="false" outlineLevel="0" collapsed="false">
      <c r="A45" s="8" t="s">
        <v>509</v>
      </c>
      <c r="B45" s="8" t="s">
        <v>385</v>
      </c>
    </row>
    <row r="46" customFormat="false" ht="15" hidden="false" customHeight="false" outlineLevel="0" collapsed="false">
      <c r="A46" s="8" t="s">
        <v>511</v>
      </c>
      <c r="B46" s="8" t="s">
        <v>110</v>
      </c>
    </row>
    <row r="47" customFormat="false" ht="15" hidden="false" customHeight="false" outlineLevel="0" collapsed="false">
      <c r="A47" s="8" t="s">
        <v>513</v>
      </c>
      <c r="B47" s="8" t="s">
        <v>184</v>
      </c>
    </row>
    <row r="48" customFormat="false" ht="15" hidden="false" customHeight="false" outlineLevel="0" collapsed="false">
      <c r="A48" s="8" t="s">
        <v>515</v>
      </c>
      <c r="B48" s="8" t="s">
        <v>428</v>
      </c>
    </row>
    <row r="49" customFormat="false" ht="15" hidden="false" customHeight="false" outlineLevel="0" collapsed="false">
      <c r="A49" s="8" t="s">
        <v>694</v>
      </c>
      <c r="B49" s="8"/>
    </row>
    <row r="50" customFormat="false" ht="15" hidden="false" customHeight="false" outlineLevel="0" collapsed="false">
      <c r="A50" s="8" t="s">
        <v>695</v>
      </c>
      <c r="B50" s="8"/>
    </row>
    <row r="51" customFormat="false" ht="15" hidden="false" customHeight="false" outlineLevel="0" collapsed="false">
      <c r="A51" s="8" t="s">
        <v>517</v>
      </c>
      <c r="B51" s="8" t="s">
        <v>408</v>
      </c>
    </row>
    <row r="52" customFormat="false" ht="15" hidden="false" customHeight="false" outlineLevel="0" collapsed="false">
      <c r="A52" s="8" t="s">
        <v>519</v>
      </c>
      <c r="B52" s="8" t="s">
        <v>382</v>
      </c>
    </row>
    <row r="53" customFormat="false" ht="15" hidden="false" customHeight="false" outlineLevel="0" collapsed="false">
      <c r="A53" s="8" t="s">
        <v>521</v>
      </c>
      <c r="B53" s="8" t="s">
        <v>48</v>
      </c>
    </row>
    <row r="54" customFormat="false" ht="15" hidden="false" customHeight="false" outlineLevel="0" collapsed="false">
      <c r="A54" s="8" t="s">
        <v>523</v>
      </c>
      <c r="B54" s="8" t="s">
        <v>274</v>
      </c>
    </row>
    <row r="55" customFormat="false" ht="15" hidden="false" customHeight="false" outlineLevel="0" collapsed="false">
      <c r="A55" s="8" t="s">
        <v>696</v>
      </c>
      <c r="B55" s="8"/>
    </row>
    <row r="56" customFormat="false" ht="15" hidden="false" customHeight="false" outlineLevel="0" collapsed="false">
      <c r="A56" s="8" t="s">
        <v>525</v>
      </c>
      <c r="B56" s="8" t="s">
        <v>113</v>
      </c>
    </row>
    <row r="57" customFormat="false" ht="15" hidden="false" customHeight="false" outlineLevel="0" collapsed="false">
      <c r="A57" s="8" t="s">
        <v>527</v>
      </c>
      <c r="B57" s="8" t="s">
        <v>51</v>
      </c>
    </row>
    <row r="58" customFormat="false" ht="15" hidden="false" customHeight="false" outlineLevel="0" collapsed="false">
      <c r="A58" s="8" t="s">
        <v>529</v>
      </c>
      <c r="B58" s="8" t="s">
        <v>268</v>
      </c>
    </row>
    <row r="59" customFormat="false" ht="15" hidden="false" customHeight="false" outlineLevel="0" collapsed="false">
      <c r="A59" s="8" t="s">
        <v>531</v>
      </c>
      <c r="B59" s="8" t="s">
        <v>265</v>
      </c>
    </row>
    <row r="60" customFormat="false" ht="15" hidden="false" customHeight="false" outlineLevel="0" collapsed="false">
      <c r="A60" s="8" t="s">
        <v>533</v>
      </c>
      <c r="B60" s="8" t="s">
        <v>349</v>
      </c>
    </row>
    <row r="61" customFormat="false" ht="15" hidden="false" customHeight="false" outlineLevel="0" collapsed="false">
      <c r="A61" s="8" t="s">
        <v>535</v>
      </c>
      <c r="B61" s="8" t="s">
        <v>116</v>
      </c>
    </row>
    <row r="62" customFormat="false" ht="15" hidden="false" customHeight="false" outlineLevel="0" collapsed="false">
      <c r="A62" s="8" t="s">
        <v>697</v>
      </c>
      <c r="B62" s="8"/>
    </row>
    <row r="63" customFormat="false" ht="15" hidden="false" customHeight="false" outlineLevel="0" collapsed="false">
      <c r="A63" s="8" t="s">
        <v>537</v>
      </c>
      <c r="B63" s="8" t="s">
        <v>202</v>
      </c>
    </row>
    <row r="64" customFormat="false" ht="15" hidden="false" customHeight="false" outlineLevel="0" collapsed="false">
      <c r="A64" s="8" t="s">
        <v>539</v>
      </c>
      <c r="B64" s="8" t="s">
        <v>402</v>
      </c>
    </row>
    <row r="65" customFormat="false" ht="15" hidden="false" customHeight="false" outlineLevel="0" collapsed="false">
      <c r="A65" s="8" t="s">
        <v>698</v>
      </c>
      <c r="B65" s="8"/>
    </row>
    <row r="66" customFormat="false" ht="15" hidden="false" customHeight="false" outlineLevel="0" collapsed="false">
      <c r="A66" s="8" t="s">
        <v>699</v>
      </c>
      <c r="B66" s="8"/>
    </row>
    <row r="67" customFormat="false" ht="15" hidden="false" customHeight="false" outlineLevel="0" collapsed="false">
      <c r="A67" s="8" t="s">
        <v>541</v>
      </c>
      <c r="B67" s="8" t="s">
        <v>218</v>
      </c>
    </row>
    <row r="68" customFormat="false" ht="15" hidden="false" customHeight="false" outlineLevel="0" collapsed="false">
      <c r="A68" s="8" t="s">
        <v>700</v>
      </c>
      <c r="B68" s="8"/>
    </row>
    <row r="69" customFormat="false" ht="15" hidden="false" customHeight="false" outlineLevel="0" collapsed="false">
      <c r="A69" s="8" t="s">
        <v>701</v>
      </c>
      <c r="B69" s="8"/>
    </row>
    <row r="70" customFormat="false" ht="15" hidden="false" customHeight="false" outlineLevel="0" collapsed="false">
      <c r="A70" s="8" t="s">
        <v>702</v>
      </c>
      <c r="B70" s="8"/>
    </row>
    <row r="71" customFormat="false" ht="15" hidden="false" customHeight="false" outlineLevel="0" collapsed="false">
      <c r="A71" s="8" t="s">
        <v>703</v>
      </c>
      <c r="B71" s="8"/>
    </row>
    <row r="72" customFormat="false" ht="15" hidden="false" customHeight="false" outlineLevel="0" collapsed="false">
      <c r="A72" s="8" t="s">
        <v>704</v>
      </c>
      <c r="B72" s="8"/>
    </row>
    <row r="73" customFormat="false" ht="15" hidden="false" customHeight="false" outlineLevel="0" collapsed="false">
      <c r="A73" s="8" t="s">
        <v>705</v>
      </c>
      <c r="B73" s="8"/>
    </row>
    <row r="74" customFormat="false" ht="15" hidden="false" customHeight="false" outlineLevel="0" collapsed="false">
      <c r="A74" s="8" t="s">
        <v>706</v>
      </c>
      <c r="B74" s="8"/>
    </row>
    <row r="75" customFormat="false" ht="15" hidden="false" customHeight="false" outlineLevel="0" collapsed="false">
      <c r="A75" s="8" t="s">
        <v>707</v>
      </c>
      <c r="B75" s="8"/>
    </row>
    <row r="76" customFormat="false" ht="15" hidden="false" customHeight="false" outlineLevel="0" collapsed="false">
      <c r="A76" s="8" t="s">
        <v>708</v>
      </c>
      <c r="B76" s="8"/>
    </row>
    <row r="77" customFormat="false" ht="15" hidden="false" customHeight="false" outlineLevel="0" collapsed="false">
      <c r="A77" s="8" t="s">
        <v>709</v>
      </c>
      <c r="B77" s="8"/>
    </row>
    <row r="78" customFormat="false" ht="15" hidden="false" customHeight="false" outlineLevel="0" collapsed="false">
      <c r="A78" s="8" t="s">
        <v>543</v>
      </c>
      <c r="B78" s="8" t="s">
        <v>298</v>
      </c>
    </row>
    <row r="79" customFormat="false" ht="15" hidden="false" customHeight="false" outlineLevel="0" collapsed="false">
      <c r="A79" s="8" t="s">
        <v>545</v>
      </c>
      <c r="B79" s="8" t="s">
        <v>69</v>
      </c>
    </row>
    <row r="80" customFormat="false" ht="15" hidden="false" customHeight="false" outlineLevel="0" collapsed="false">
      <c r="A80" s="8" t="s">
        <v>710</v>
      </c>
      <c r="B80" s="8"/>
    </row>
    <row r="81" customFormat="false" ht="15" hidden="false" customHeight="false" outlineLevel="0" collapsed="false">
      <c r="A81" s="8" t="s">
        <v>711</v>
      </c>
      <c r="B81" s="8"/>
    </row>
    <row r="82" customFormat="false" ht="15" hidden="false" customHeight="false" outlineLevel="0" collapsed="false">
      <c r="A82" s="8" t="s">
        <v>547</v>
      </c>
      <c r="B82" s="8" t="s">
        <v>286</v>
      </c>
    </row>
    <row r="83" customFormat="false" ht="15" hidden="false" customHeight="false" outlineLevel="0" collapsed="false">
      <c r="A83" s="8" t="s">
        <v>712</v>
      </c>
      <c r="B83" s="8"/>
    </row>
    <row r="84" customFormat="false" ht="15" hidden="false" customHeight="false" outlineLevel="0" collapsed="false">
      <c r="A84" s="8" t="s">
        <v>549</v>
      </c>
      <c r="B84" s="8" t="s">
        <v>166</v>
      </c>
    </row>
    <row r="85" customFormat="false" ht="15" hidden="false" customHeight="false" outlineLevel="0" collapsed="false">
      <c r="A85" s="8" t="s">
        <v>713</v>
      </c>
      <c r="B85" s="8"/>
    </row>
    <row r="86" customFormat="false" ht="15" hidden="false" customHeight="false" outlineLevel="0" collapsed="false">
      <c r="A86" s="8" t="s">
        <v>714</v>
      </c>
      <c r="B86" s="8"/>
    </row>
    <row r="87" customFormat="false" ht="15" hidden="false" customHeight="false" outlineLevel="0" collapsed="false">
      <c r="A87" s="8" t="s">
        <v>551</v>
      </c>
      <c r="B87" s="8" t="s">
        <v>60</v>
      </c>
    </row>
    <row r="88" customFormat="false" ht="15" hidden="false" customHeight="false" outlineLevel="0" collapsed="false">
      <c r="A88" s="8" t="s">
        <v>715</v>
      </c>
      <c r="B88" s="8"/>
    </row>
    <row r="89" customFormat="false" ht="15" hidden="false" customHeight="false" outlineLevel="0" collapsed="false">
      <c r="A89" s="8" t="s">
        <v>553</v>
      </c>
      <c r="B89" s="8" t="s">
        <v>355</v>
      </c>
    </row>
    <row r="90" customFormat="false" ht="15" hidden="false" customHeight="false" outlineLevel="0" collapsed="false">
      <c r="A90" s="8" t="s">
        <v>555</v>
      </c>
      <c r="B90" s="8" t="s">
        <v>262</v>
      </c>
    </row>
    <row r="91" customFormat="false" ht="15" hidden="false" customHeight="false" outlineLevel="0" collapsed="false">
      <c r="A91" s="8" t="s">
        <v>557</v>
      </c>
      <c r="B91" s="8" t="s">
        <v>271</v>
      </c>
    </row>
    <row r="92" customFormat="false" ht="15" hidden="false" customHeight="false" outlineLevel="0" collapsed="false">
      <c r="A92" s="8" t="s">
        <v>559</v>
      </c>
      <c r="B92" s="8" t="s">
        <v>172</v>
      </c>
    </row>
    <row r="93" customFormat="false" ht="15" hidden="false" customHeight="false" outlineLevel="0" collapsed="false">
      <c r="A93" s="8" t="s">
        <v>716</v>
      </c>
      <c r="B93" s="8"/>
    </row>
    <row r="94" customFormat="false" ht="15" hidden="false" customHeight="false" outlineLevel="0" collapsed="false">
      <c r="A94" s="8" t="s">
        <v>561</v>
      </c>
      <c r="B94" s="8" t="s">
        <v>422</v>
      </c>
    </row>
    <row r="95" customFormat="false" ht="15" hidden="false" customHeight="false" outlineLevel="0" collapsed="false">
      <c r="A95" s="8" t="s">
        <v>563</v>
      </c>
      <c r="B95" s="8" t="s">
        <v>119</v>
      </c>
    </row>
    <row r="96" customFormat="false" ht="15" hidden="false" customHeight="false" outlineLevel="0" collapsed="false">
      <c r="A96" s="8" t="s">
        <v>717</v>
      </c>
      <c r="B96" s="8"/>
    </row>
    <row r="97" customFormat="false" ht="15" hidden="false" customHeight="false" outlineLevel="0" collapsed="false">
      <c r="A97" s="8" t="s">
        <v>718</v>
      </c>
      <c r="B97" s="8"/>
    </row>
    <row r="98" customFormat="false" ht="15" hidden="false" customHeight="false" outlineLevel="0" collapsed="false">
      <c r="A98" s="8" t="s">
        <v>719</v>
      </c>
      <c r="B98" s="8"/>
    </row>
    <row r="99" customFormat="false" ht="15" hidden="false" customHeight="false" outlineLevel="0" collapsed="false">
      <c r="A99" s="8" t="s">
        <v>565</v>
      </c>
      <c r="B99" s="8" t="s">
        <v>175</v>
      </c>
    </row>
    <row r="100" customFormat="false" ht="15" hidden="false" customHeight="false" outlineLevel="0" collapsed="false">
      <c r="A100" s="8" t="s">
        <v>720</v>
      </c>
      <c r="B100" s="8"/>
    </row>
    <row r="101" customFormat="false" ht="15" hidden="false" customHeight="false" outlineLevel="0" collapsed="false">
      <c r="A101" s="8" t="s">
        <v>721</v>
      </c>
      <c r="B101" s="8"/>
    </row>
    <row r="102" customFormat="false" ht="15" hidden="false" customHeight="false" outlineLevel="0" collapsed="false">
      <c r="A102" s="8" t="s">
        <v>567</v>
      </c>
      <c r="B102" s="8" t="s">
        <v>224</v>
      </c>
    </row>
    <row r="103" customFormat="false" ht="15" hidden="false" customHeight="false" outlineLevel="0" collapsed="false">
      <c r="A103" s="8" t="s">
        <v>722</v>
      </c>
      <c r="B103" s="8"/>
    </row>
    <row r="104" customFormat="false" ht="15" hidden="false" customHeight="false" outlineLevel="0" collapsed="false">
      <c r="A104" s="8" t="s">
        <v>569</v>
      </c>
      <c r="B104" s="8" t="s">
        <v>277</v>
      </c>
    </row>
    <row r="105" customFormat="false" ht="15" hidden="false" customHeight="false" outlineLevel="0" collapsed="false">
      <c r="A105" s="8" t="s">
        <v>723</v>
      </c>
      <c r="B105" s="8"/>
    </row>
    <row r="106" customFormat="false" ht="15" hidden="false" customHeight="false" outlineLevel="0" collapsed="false">
      <c r="A106" s="8" t="s">
        <v>571</v>
      </c>
      <c r="B106" s="8" t="s">
        <v>45</v>
      </c>
    </row>
    <row r="107" customFormat="false" ht="15" hidden="false" customHeight="false" outlineLevel="0" collapsed="false">
      <c r="A107" s="8" t="s">
        <v>573</v>
      </c>
      <c r="B107" s="8" t="s">
        <v>42</v>
      </c>
    </row>
    <row r="108" customFormat="false" ht="15" hidden="false" customHeight="false" outlineLevel="0" collapsed="false">
      <c r="A108" s="8" t="s">
        <v>575</v>
      </c>
      <c r="B108" s="8" t="s">
        <v>122</v>
      </c>
    </row>
    <row r="109" customFormat="false" ht="15" hidden="false" customHeight="false" outlineLevel="0" collapsed="false">
      <c r="A109" s="8" t="s">
        <v>724</v>
      </c>
      <c r="B109" s="8"/>
    </row>
    <row r="110" customFormat="false" ht="15" hidden="false" customHeight="false" outlineLevel="0" collapsed="false">
      <c r="A110" s="8" t="s">
        <v>577</v>
      </c>
      <c r="B110" s="8" t="s">
        <v>125</v>
      </c>
    </row>
    <row r="111" customFormat="false" ht="15" hidden="false" customHeight="false" outlineLevel="0" collapsed="false">
      <c r="A111" s="8" t="s">
        <v>725</v>
      </c>
      <c r="B111" s="8"/>
    </row>
    <row r="112" customFormat="false" ht="15" hidden="false" customHeight="false" outlineLevel="0" collapsed="false">
      <c r="A112" s="8" t="s">
        <v>579</v>
      </c>
      <c r="B112" s="8" t="s">
        <v>169</v>
      </c>
    </row>
    <row r="113" customFormat="false" ht="15" hidden="false" customHeight="false" outlineLevel="0" collapsed="false">
      <c r="A113" s="8" t="s">
        <v>726</v>
      </c>
      <c r="B113" s="8"/>
    </row>
    <row r="114" customFormat="false" ht="15" hidden="false" customHeight="false" outlineLevel="0" collapsed="false">
      <c r="A114" s="8" t="s">
        <v>727</v>
      </c>
      <c r="B114" s="8"/>
    </row>
    <row r="115" customFormat="false" ht="15" hidden="false" customHeight="false" outlineLevel="0" collapsed="false">
      <c r="A115" s="8" t="s">
        <v>581</v>
      </c>
      <c r="B115" s="8" t="s">
        <v>431</v>
      </c>
    </row>
    <row r="116" customFormat="false" ht="15" hidden="false" customHeight="false" outlineLevel="0" collapsed="false">
      <c r="A116" s="8" t="s">
        <v>728</v>
      </c>
      <c r="B116" s="8"/>
    </row>
    <row r="117" customFormat="false" ht="15" hidden="false" customHeight="false" outlineLevel="0" collapsed="false">
      <c r="A117" s="8" t="s">
        <v>729</v>
      </c>
      <c r="B117" s="8"/>
    </row>
    <row r="118" customFormat="false" ht="15" hidden="false" customHeight="false" outlineLevel="0" collapsed="false">
      <c r="A118" s="8" t="s">
        <v>583</v>
      </c>
      <c r="B118" s="8" t="s">
        <v>425</v>
      </c>
    </row>
    <row r="119" customFormat="false" ht="15" hidden="false" customHeight="false" outlineLevel="0" collapsed="false">
      <c r="A119" s="8" t="s">
        <v>730</v>
      </c>
      <c r="B119" s="8"/>
    </row>
    <row r="120" customFormat="false" ht="15" hidden="false" customHeight="false" outlineLevel="0" collapsed="false">
      <c r="A120" s="8" t="s">
        <v>585</v>
      </c>
      <c r="B120" s="8" t="s">
        <v>434</v>
      </c>
    </row>
    <row r="121" customFormat="false" ht="15" hidden="false" customHeight="false" outlineLevel="0" collapsed="false">
      <c r="A121" s="8" t="s">
        <v>587</v>
      </c>
      <c r="B121" s="8" t="s">
        <v>369</v>
      </c>
    </row>
    <row r="122" customFormat="false" ht="15" hidden="false" customHeight="false" outlineLevel="0" collapsed="false">
      <c r="A122" s="8" t="s">
        <v>589</v>
      </c>
      <c r="B122" s="8" t="s">
        <v>280</v>
      </c>
    </row>
    <row r="123" customFormat="false" ht="15" hidden="false" customHeight="false" outlineLevel="0" collapsed="false">
      <c r="A123" s="8" t="s">
        <v>731</v>
      </c>
      <c r="B123" s="8"/>
    </row>
    <row r="124" customFormat="false" ht="15" hidden="false" customHeight="false" outlineLevel="0" collapsed="false">
      <c r="A124" s="8" t="s">
        <v>732</v>
      </c>
      <c r="B124" s="8"/>
    </row>
    <row r="125" customFormat="false" ht="15" hidden="false" customHeight="false" outlineLevel="0" collapsed="false">
      <c r="A125" s="8" t="s">
        <v>733</v>
      </c>
      <c r="B125" s="8"/>
    </row>
    <row r="126" customFormat="false" ht="15" hidden="false" customHeight="false" outlineLevel="0" collapsed="false">
      <c r="A126" s="8" t="s">
        <v>591</v>
      </c>
      <c r="B126" s="8" t="s">
        <v>206</v>
      </c>
    </row>
    <row r="127" customFormat="false" ht="15" hidden="false" customHeight="false" outlineLevel="0" collapsed="false">
      <c r="A127" s="8" t="s">
        <v>734</v>
      </c>
      <c r="B127" s="8"/>
    </row>
    <row r="128" customFormat="false" ht="15" hidden="false" customHeight="false" outlineLevel="0" collapsed="false">
      <c r="A128" s="8" t="s">
        <v>593</v>
      </c>
      <c r="B128" s="8" t="s">
        <v>379</v>
      </c>
    </row>
    <row r="129" customFormat="false" ht="15" hidden="false" customHeight="false" outlineLevel="0" collapsed="false">
      <c r="A129" s="8" t="s">
        <v>595</v>
      </c>
      <c r="B129" s="8" t="s">
        <v>196</v>
      </c>
    </row>
    <row r="130" customFormat="false" ht="15" hidden="false" customHeight="false" outlineLevel="0" collapsed="false">
      <c r="A130" s="8" t="s">
        <v>735</v>
      </c>
      <c r="B130" s="8"/>
    </row>
    <row r="131" customFormat="false" ht="15" hidden="false" customHeight="false" outlineLevel="0" collapsed="false">
      <c r="A131" s="8" t="s">
        <v>736</v>
      </c>
      <c r="B131" s="8"/>
    </row>
    <row r="132" customFormat="false" ht="15" hidden="false" customHeight="false" outlineLevel="0" collapsed="false">
      <c r="A132" s="8" t="s">
        <v>737</v>
      </c>
      <c r="B132" s="8"/>
    </row>
    <row r="133" customFormat="false" ht="15" hidden="false" customHeight="false" outlineLevel="0" collapsed="false">
      <c r="A133" s="8" t="s">
        <v>597</v>
      </c>
      <c r="B133" s="8" t="s">
        <v>128</v>
      </c>
    </row>
    <row r="134" customFormat="false" ht="15" hidden="false" customHeight="false" outlineLevel="0" collapsed="false">
      <c r="A134" s="8" t="s">
        <v>599</v>
      </c>
      <c r="B134" s="8" t="s">
        <v>295</v>
      </c>
    </row>
    <row r="135" customFormat="false" ht="15" hidden="false" customHeight="false" outlineLevel="0" collapsed="false">
      <c r="A135" s="8" t="s">
        <v>601</v>
      </c>
      <c r="B135" s="8" t="s">
        <v>131</v>
      </c>
    </row>
    <row r="136" customFormat="false" ht="15" hidden="false" customHeight="false" outlineLevel="0" collapsed="false">
      <c r="A136" s="8" t="s">
        <v>603</v>
      </c>
      <c r="B136" s="8" t="s">
        <v>57</v>
      </c>
    </row>
    <row r="137" customFormat="false" ht="15" hidden="false" customHeight="false" outlineLevel="0" collapsed="false">
      <c r="A137" s="8" t="s">
        <v>605</v>
      </c>
      <c r="B137" s="8" t="s">
        <v>134</v>
      </c>
    </row>
    <row r="138" customFormat="false" ht="15" hidden="false" customHeight="false" outlineLevel="0" collapsed="false">
      <c r="A138" s="8" t="s">
        <v>738</v>
      </c>
      <c r="B138" s="8"/>
    </row>
    <row r="139" customFormat="false" ht="15" hidden="false" customHeight="false" outlineLevel="0" collapsed="false">
      <c r="A139" s="8" t="s">
        <v>607</v>
      </c>
      <c r="B139" s="8" t="s">
        <v>289</v>
      </c>
    </row>
    <row r="140" customFormat="false" ht="15" hidden="false" customHeight="false" outlineLevel="0" collapsed="false">
      <c r="A140" s="8" t="s">
        <v>739</v>
      </c>
      <c r="B140" s="8"/>
    </row>
    <row r="141" customFormat="false" ht="15" hidden="false" customHeight="false" outlineLevel="0" collapsed="false">
      <c r="A141" s="8" t="s">
        <v>740</v>
      </c>
      <c r="B141" s="8"/>
    </row>
    <row r="142" customFormat="false" ht="15" hidden="false" customHeight="false" outlineLevel="0" collapsed="false">
      <c r="A142" s="8" t="s">
        <v>741</v>
      </c>
      <c r="B142" s="8"/>
    </row>
    <row r="143" customFormat="false" ht="15" hidden="false" customHeight="false" outlineLevel="0" collapsed="false">
      <c r="A143" s="8" t="s">
        <v>609</v>
      </c>
      <c r="B143" s="8" t="s">
        <v>414</v>
      </c>
    </row>
    <row r="144" customFormat="false" ht="15" hidden="false" customHeight="false" outlineLevel="0" collapsed="false">
      <c r="A144" s="8" t="s">
        <v>611</v>
      </c>
      <c r="B144" s="8" t="s">
        <v>36</v>
      </c>
    </row>
    <row r="145" customFormat="false" ht="15" hidden="false" customHeight="false" outlineLevel="0" collapsed="false">
      <c r="A145" s="8" t="s">
        <v>613</v>
      </c>
      <c r="B145" s="8" t="s">
        <v>54</v>
      </c>
    </row>
    <row r="146" customFormat="false" ht="15" hidden="false" customHeight="false" outlineLevel="0" collapsed="false">
      <c r="A146" s="8" t="s">
        <v>615</v>
      </c>
      <c r="B146" s="8" t="s">
        <v>215</v>
      </c>
    </row>
    <row r="147" customFormat="false" ht="15" hidden="false" customHeight="false" outlineLevel="0" collapsed="false">
      <c r="A147" s="8" t="s">
        <v>617</v>
      </c>
      <c r="B147" s="8" t="s">
        <v>352</v>
      </c>
    </row>
    <row r="148" customFormat="false" ht="15" hidden="false" customHeight="false" outlineLevel="0" collapsed="false">
      <c r="A148" s="8" t="s">
        <v>619</v>
      </c>
      <c r="B148" s="8" t="s">
        <v>199</v>
      </c>
    </row>
    <row r="149" customFormat="false" ht="15" hidden="false" customHeight="false" outlineLevel="0" collapsed="false">
      <c r="A149" s="8" t="s">
        <v>621</v>
      </c>
      <c r="B149" s="8" t="s">
        <v>292</v>
      </c>
    </row>
    <row r="150" customFormat="false" ht="15" hidden="false" customHeight="false" outlineLevel="0" collapsed="false">
      <c r="A150" s="8" t="s">
        <v>742</v>
      </c>
      <c r="B150" s="8"/>
    </row>
    <row r="151" customFormat="false" ht="15" hidden="false" customHeight="false" outlineLevel="0" collapsed="false">
      <c r="A151" s="8" t="s">
        <v>743</v>
      </c>
      <c r="B151" s="8"/>
    </row>
    <row r="152" customFormat="false" ht="15" hidden="false" customHeight="false" outlineLevel="0" collapsed="false">
      <c r="A152" s="8" t="s">
        <v>744</v>
      </c>
      <c r="B152" s="8"/>
    </row>
    <row r="153" customFormat="false" ht="15" hidden="false" customHeight="false" outlineLevel="0" collapsed="false">
      <c r="A153" s="8" t="s">
        <v>623</v>
      </c>
      <c r="B153" s="8" t="s">
        <v>343</v>
      </c>
    </row>
    <row r="154" customFormat="false" ht="15" hidden="false" customHeight="false" outlineLevel="0" collapsed="false">
      <c r="A154" s="8" t="s">
        <v>745</v>
      </c>
      <c r="B154" s="8"/>
    </row>
    <row r="155" customFormat="false" ht="15" hidden="false" customHeight="false" outlineLevel="0" collapsed="false">
      <c r="A155" s="8" t="s">
        <v>746</v>
      </c>
      <c r="B155" s="8"/>
    </row>
    <row r="156" customFormat="false" ht="15" hidden="false" customHeight="false" outlineLevel="0" collapsed="false">
      <c r="A156" s="8" t="s">
        <v>625</v>
      </c>
      <c r="B156" s="8" t="s">
        <v>389</v>
      </c>
    </row>
    <row r="157" customFormat="false" ht="15" hidden="false" customHeight="false" outlineLevel="0" collapsed="false">
      <c r="A157" s="8" t="s">
        <v>747</v>
      </c>
      <c r="B157" s="8"/>
    </row>
    <row r="158" customFormat="false" ht="15" hidden="false" customHeight="false" outlineLevel="0" collapsed="false">
      <c r="A158" s="8" t="s">
        <v>627</v>
      </c>
      <c r="B158" s="8" t="s">
        <v>187</v>
      </c>
    </row>
    <row r="159" customFormat="false" ht="15" hidden="false" customHeight="false" outlineLevel="0" collapsed="false">
      <c r="A159" s="8" t="s">
        <v>748</v>
      </c>
      <c r="B159" s="8"/>
    </row>
    <row r="160" customFormat="false" ht="15" hidden="false" customHeight="false" outlineLevel="0" collapsed="false">
      <c r="A160" s="8" t="s">
        <v>749</v>
      </c>
      <c r="B160" s="8"/>
    </row>
    <row r="161" customFormat="false" ht="15" hidden="false" customHeight="false" outlineLevel="0" collapsed="false">
      <c r="A161" s="8" t="s">
        <v>629</v>
      </c>
      <c r="B161" s="8" t="s">
        <v>399</v>
      </c>
    </row>
    <row r="162" customFormat="false" ht="15" hidden="false" customHeight="false" outlineLevel="0" collapsed="false">
      <c r="A162" s="8" t="s">
        <v>631</v>
      </c>
      <c r="B162" s="8" t="s">
        <v>137</v>
      </c>
    </row>
    <row r="163" customFormat="false" ht="15" hidden="false" customHeight="false" outlineLevel="0" collapsed="false">
      <c r="A163" s="8" t="s">
        <v>750</v>
      </c>
      <c r="B163" s="8"/>
    </row>
    <row r="164" customFormat="false" ht="15" hidden="false" customHeight="false" outlineLevel="0" collapsed="false">
      <c r="A164" s="8" t="s">
        <v>633</v>
      </c>
      <c r="B164" s="8" t="s">
        <v>301</v>
      </c>
    </row>
    <row r="165" customFormat="false" ht="15" hidden="false" customHeight="false" outlineLevel="0" collapsed="false">
      <c r="A165" s="8" t="s">
        <v>751</v>
      </c>
      <c r="B165" s="8"/>
    </row>
    <row r="166" customFormat="false" ht="15" hidden="false" customHeight="false" outlineLevel="0" collapsed="false">
      <c r="A166" s="8" t="s">
        <v>635</v>
      </c>
      <c r="B166" s="8" t="s">
        <v>63</v>
      </c>
    </row>
    <row r="167" customFormat="false" ht="15" hidden="false" customHeight="false" outlineLevel="0" collapsed="false">
      <c r="A167" s="8" t="s">
        <v>637</v>
      </c>
      <c r="B167" s="8" t="s">
        <v>307</v>
      </c>
    </row>
    <row r="168" customFormat="false" ht="15" hidden="false" customHeight="false" outlineLevel="0" collapsed="false">
      <c r="A168" s="8" t="s">
        <v>639</v>
      </c>
      <c r="B168" s="8" t="s">
        <v>310</v>
      </c>
    </row>
    <row r="169" customFormat="false" ht="15" hidden="false" customHeight="false" outlineLevel="0" collapsed="false">
      <c r="A169" s="8" t="s">
        <v>752</v>
      </c>
      <c r="B169" s="8"/>
    </row>
    <row r="170" customFormat="false" ht="15" hidden="false" customHeight="false" outlineLevel="0" collapsed="false">
      <c r="A170" s="8" t="s">
        <v>753</v>
      </c>
      <c r="B170" s="8"/>
    </row>
    <row r="171" customFormat="false" ht="15" hidden="false" customHeight="false" outlineLevel="0" collapsed="false">
      <c r="A171" s="8" t="s">
        <v>641</v>
      </c>
      <c r="B171" s="8" t="s">
        <v>190</v>
      </c>
    </row>
    <row r="172" customFormat="false" ht="15" hidden="false" customHeight="false" outlineLevel="0" collapsed="false">
      <c r="A172" s="8" t="s">
        <v>643</v>
      </c>
      <c r="B172" s="8" t="s">
        <v>366</v>
      </c>
    </row>
    <row r="173" customFormat="false" ht="15" hidden="false" customHeight="false" outlineLevel="0" collapsed="false">
      <c r="A173" s="8" t="s">
        <v>645</v>
      </c>
      <c r="B173" s="8" t="s">
        <v>359</v>
      </c>
    </row>
    <row r="174" customFormat="false" ht="15" hidden="false" customHeight="false" outlineLevel="0" collapsed="false">
      <c r="A174" s="8" t="s">
        <v>754</v>
      </c>
      <c r="B174" s="8"/>
    </row>
    <row r="175" customFormat="false" ht="15" hidden="false" customHeight="false" outlineLevel="0" collapsed="false">
      <c r="A175" s="8" t="s">
        <v>647</v>
      </c>
      <c r="B175" s="8" t="s">
        <v>66</v>
      </c>
    </row>
    <row r="176" customFormat="false" ht="15" hidden="false" customHeight="false" outlineLevel="0" collapsed="false">
      <c r="A176" s="8" t="s">
        <v>755</v>
      </c>
      <c r="B176" s="8"/>
    </row>
    <row r="177" customFormat="false" ht="15" hidden="false" customHeight="false" outlineLevel="0" collapsed="false">
      <c r="A177" s="8" t="s">
        <v>649</v>
      </c>
      <c r="B177" s="8" t="s">
        <v>372</v>
      </c>
    </row>
    <row r="178" customFormat="false" ht="15" hidden="false" customHeight="false" outlineLevel="0" collapsed="false">
      <c r="A178" s="8" t="s">
        <v>756</v>
      </c>
      <c r="B178" s="8"/>
    </row>
    <row r="179" customFormat="false" ht="15" hidden="false" customHeight="false" outlineLevel="0" collapsed="false">
      <c r="A179" s="8" t="s">
        <v>651</v>
      </c>
      <c r="B179" s="8" t="s">
        <v>72</v>
      </c>
    </row>
    <row r="180" customFormat="false" ht="15" hidden="false" customHeight="false" outlineLevel="0" collapsed="false">
      <c r="A180" s="8" t="s">
        <v>653</v>
      </c>
      <c r="B180" s="8" t="s">
        <v>316</v>
      </c>
    </row>
    <row r="181" customFormat="false" ht="15" hidden="false" customHeight="false" outlineLevel="0" collapsed="false">
      <c r="A181" s="8" t="s">
        <v>757</v>
      </c>
      <c r="B181" s="8"/>
    </row>
    <row r="182" customFormat="false" ht="15" hidden="false" customHeight="false" outlineLevel="0" collapsed="false">
      <c r="A182" s="8" t="s">
        <v>758</v>
      </c>
      <c r="B182" s="8"/>
    </row>
    <row r="183" customFormat="false" ht="15" hidden="false" customHeight="false" outlineLevel="0" collapsed="false">
      <c r="A183" s="8" t="s">
        <v>759</v>
      </c>
      <c r="B183" s="8"/>
    </row>
    <row r="184" customFormat="false" ht="15" hidden="false" customHeight="false" outlineLevel="0" collapsed="false">
      <c r="A184" s="8" t="s">
        <v>655</v>
      </c>
      <c r="B184" s="8" t="s">
        <v>193</v>
      </c>
    </row>
    <row r="185" customFormat="false" ht="15" hidden="false" customHeight="false" outlineLevel="0" collapsed="false">
      <c r="A185" s="8" t="s">
        <v>657</v>
      </c>
      <c r="B185" s="8" t="s">
        <v>209</v>
      </c>
    </row>
    <row r="186" customFormat="false" ht="15" hidden="false" customHeight="false" outlineLevel="0" collapsed="false">
      <c r="A186" s="8" t="s">
        <v>760</v>
      </c>
      <c r="B186" s="8"/>
    </row>
    <row r="187" customFormat="false" ht="15" hidden="false" customHeight="false" outlineLevel="0" collapsed="false">
      <c r="A187" s="8" t="s">
        <v>659</v>
      </c>
      <c r="B187" s="8" t="s">
        <v>140</v>
      </c>
    </row>
    <row r="188" customFormat="false" ht="15" hidden="false" customHeight="false" outlineLevel="0" collapsed="false">
      <c r="A188" s="8" t="s">
        <v>761</v>
      </c>
      <c r="B188" s="8"/>
    </row>
    <row r="189" customFormat="false" ht="15" hidden="false" customHeight="false" outlineLevel="0" collapsed="false">
      <c r="A189" s="8" t="s">
        <v>762</v>
      </c>
      <c r="B189" s="8"/>
    </row>
    <row r="190" customFormat="false" ht="15" hidden="false" customHeight="false" outlineLevel="0" collapsed="false">
      <c r="A190" s="8" t="s">
        <v>763</v>
      </c>
      <c r="B190" s="8"/>
    </row>
    <row r="191" customFormat="false" ht="15" hidden="false" customHeight="false" outlineLevel="0" collapsed="false">
      <c r="A191" s="8" t="s">
        <v>764</v>
      </c>
      <c r="B191" s="8"/>
    </row>
    <row r="192" customFormat="false" ht="15" hidden="false" customHeight="false" outlineLevel="0" collapsed="false">
      <c r="A192" s="8" t="s">
        <v>765</v>
      </c>
      <c r="B192" s="8"/>
    </row>
    <row r="193" customFormat="false" ht="15" hidden="false" customHeight="false" outlineLevel="0" collapsed="false">
      <c r="A193" s="8" t="s">
        <v>661</v>
      </c>
      <c r="B193" s="8" t="s">
        <v>212</v>
      </c>
    </row>
    <row r="194" customFormat="false" ht="15" hidden="false" customHeight="false" outlineLevel="0" collapsed="false">
      <c r="A194" s="8" t="s">
        <v>766</v>
      </c>
      <c r="B194" s="8"/>
    </row>
    <row r="195" customFormat="false" ht="15" hidden="false" customHeight="false" outlineLevel="0" collapsed="false">
      <c r="A195" s="8" t="s">
        <v>767</v>
      </c>
      <c r="B195" s="8"/>
    </row>
    <row r="196" customFormat="false" ht="15" hidden="false" customHeight="false" outlineLevel="0" collapsed="false">
      <c r="A196" s="8" t="s">
        <v>768</v>
      </c>
      <c r="B196" s="8"/>
    </row>
    <row r="197" customFormat="false" ht="15" hidden="false" customHeight="false" outlineLevel="0" collapsed="false">
      <c r="A197" s="8" t="s">
        <v>663</v>
      </c>
      <c r="B197" s="8" t="s">
        <v>418</v>
      </c>
    </row>
    <row r="198" customFormat="false" ht="15" hidden="false" customHeight="false" outlineLevel="0" collapsed="false">
      <c r="A198" s="8" t="s">
        <v>665</v>
      </c>
      <c r="B198" s="8" t="s">
        <v>143</v>
      </c>
    </row>
    <row r="199" customFormat="false" ht="15" hidden="false" customHeight="false" outlineLevel="0" collapsed="false">
      <c r="A199" s="8" t="s">
        <v>667</v>
      </c>
      <c r="B199" s="8" t="s">
        <v>396</v>
      </c>
    </row>
    <row r="200" customFormat="false" ht="15" hidden="false" customHeight="false" outlineLevel="0" collapsed="false">
      <c r="A200" s="8" t="s">
        <v>669</v>
      </c>
      <c r="B200" s="8" t="s">
        <v>221</v>
      </c>
    </row>
    <row r="201" customFormat="false" ht="15" hidden="false" customHeight="false" outlineLevel="0" collapsed="false">
      <c r="A201" s="8" t="s">
        <v>671</v>
      </c>
      <c r="B201" s="8"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3"/>
  </cols>
  <sheetData>
    <row r="1" customFormat="false" ht="15" hidden="false" customHeight="false" outlineLevel="0" collapsed="false">
      <c r="A1" s="9" t="s">
        <v>769</v>
      </c>
    </row>
    <row r="2" customFormat="false" ht="15" hidden="false" customHeight="false" outlineLevel="0" collapsed="false">
      <c r="A2" s="10" t="s">
        <v>18</v>
      </c>
      <c r="B2" s="10" t="s">
        <v>27</v>
      </c>
      <c r="C2" s="10" t="s">
        <v>101</v>
      </c>
      <c r="D2" s="10" t="s">
        <v>76</v>
      </c>
      <c r="E2" s="10" t="s">
        <v>770</v>
      </c>
    </row>
    <row r="3" customFormat="false" ht="15" hidden="false" customHeight="false" outlineLevel="0" collapsed="false">
      <c r="A3" s="0" t="s">
        <v>26</v>
      </c>
      <c r="B3" s="0" t="n">
        <f aca="false">COUNTIFS(KB!$B$2:$B$137,$A3,KB!$C$2:$C$137,"info")</f>
        <v>15</v>
      </c>
      <c r="C3" s="0" t="n">
        <f aca="false">COUNTIFS(KB!$B$2:$B$137,$A3,KB!$C$2:$C$137,"emergency")</f>
        <v>16</v>
      </c>
      <c r="D3" s="0" t="n">
        <f aca="false">COUNTIFS(KB!$B$2:$B$137,$A3,KB!$C$2:$C$137,"distractor")</f>
        <v>8</v>
      </c>
      <c r="E3" s="0" t="n">
        <f aca="false">SUM(B3:D3)</f>
        <v>39</v>
      </c>
    </row>
    <row r="4" customFormat="false" ht="15" hidden="false" customHeight="false" outlineLevel="0" collapsed="false">
      <c r="A4" s="0" t="s">
        <v>150</v>
      </c>
      <c r="B4" s="0" t="n">
        <f aca="false">COUNTIFS(KB!$B$2:$B$137,$A4,KB!$C$2:$C$137,"info")</f>
        <v>25</v>
      </c>
      <c r="C4" s="0" t="n">
        <f aca="false">COUNTIFS(KB!$B$2:$B$137,$A4,KB!$C$2:$C$137,"emergency")</f>
        <v>0</v>
      </c>
      <c r="D4" s="0" t="n">
        <f aca="false">COUNTIFS(KB!$B$2:$B$137,$A4,KB!$C$2:$C$137,"distractor")</f>
        <v>10</v>
      </c>
      <c r="E4" s="0" t="n">
        <f aca="false">SUM(B4:D4)</f>
        <v>35</v>
      </c>
    </row>
    <row r="5" customFormat="false" ht="15" hidden="false" customHeight="false" outlineLevel="0" collapsed="false">
      <c r="A5" s="0" t="s">
        <v>258</v>
      </c>
      <c r="B5" s="0" t="n">
        <f aca="false">COUNTIFS(KB!$B$2:$B$137,$A5,KB!$C$2:$C$137,"info")</f>
        <v>20</v>
      </c>
      <c r="C5" s="0" t="n">
        <f aca="false">COUNTIFS(KB!$B$2:$B$137,$A5,KB!$C$2:$C$137,"emergency")</f>
        <v>0</v>
      </c>
      <c r="D5" s="0" t="n">
        <f aca="false">COUNTIFS(KB!$B$2:$B$137,$A5,KB!$C$2:$C$137,"distractor")</f>
        <v>6</v>
      </c>
      <c r="E5" s="0" t="n">
        <f aca="false">SUM(B5:D5)</f>
        <v>26</v>
      </c>
    </row>
    <row r="6" customFormat="false" ht="15" hidden="false" customHeight="false" outlineLevel="0" collapsed="false">
      <c r="A6" s="0" t="s">
        <v>339</v>
      </c>
      <c r="B6" s="0" t="n">
        <f aca="false">COUNTIFS(KB!$B$2:$B$137,$A6,KB!$C$2:$C$137,"info")</f>
        <v>30</v>
      </c>
      <c r="C6" s="0" t="n">
        <f aca="false">COUNTIFS(KB!$B$2:$B$137,$A6,KB!$C$2:$C$137,"emergency")</f>
        <v>0</v>
      </c>
      <c r="D6" s="0" t="n">
        <f aca="false">COUNTIFS(KB!$B$2:$B$137,$A6,KB!$C$2:$C$137,"distractor")</f>
        <v>6</v>
      </c>
      <c r="E6" s="0" t="n">
        <f aca="false">SUM(B6:D6)</f>
        <v>36</v>
      </c>
    </row>
    <row r="7" customFormat="false" ht="15" hidden="false" customHeight="false" outlineLevel="0" collapsed="false">
      <c r="A7" s="0" t="s">
        <v>770</v>
      </c>
      <c r="B7" s="0" t="n">
        <f aca="false">SUM(B3:B6)</f>
        <v>90</v>
      </c>
      <c r="C7" s="0" t="n">
        <f aca="false">SUM(C3:C6)</f>
        <v>16</v>
      </c>
      <c r="D7" s="0" t="n">
        <f aca="false">SUM(D3:D6)</f>
        <v>30</v>
      </c>
      <c r="E7" s="0" t="n">
        <f aca="false">SUM(E3:E6)</f>
        <v>136</v>
      </c>
    </row>
    <row r="10" customFormat="false" ht="15" hidden="false" customHeight="false" outlineLevel="0" collapsed="false">
      <c r="A10" s="9" t="s">
        <v>771</v>
      </c>
    </row>
    <row r="11" customFormat="false" ht="15" hidden="false" customHeight="false" outlineLevel="0" collapsed="false">
      <c r="A11" s="0" t="s">
        <v>30</v>
      </c>
      <c r="B11" s="0" t="n">
        <f aca="false">COUNTIF(KB!$F$2:$F$137,A11)</f>
        <v>47</v>
      </c>
    </row>
    <row r="12" customFormat="false" ht="15" hidden="false" customHeight="false" outlineLevel="0" collapsed="false">
      <c r="A12" s="0" t="s">
        <v>35</v>
      </c>
      <c r="B12" s="0" t="n">
        <f aca="false">COUNTIF(KB!$F$2:$F$137,A12)</f>
        <v>75</v>
      </c>
    </row>
    <row r="13" customFormat="false" ht="15" hidden="false" customHeight="false" outlineLevel="0" collapsed="false">
      <c r="A13" s="0" t="s">
        <v>325</v>
      </c>
      <c r="B13" s="0" t="n">
        <f aca="false">COUNTIF(KB!$F$2:$F$137,A13)</f>
        <v>14</v>
      </c>
    </row>
    <row r="15" customFormat="false" ht="15" hidden="false" customHeight="false" outlineLevel="0" collapsed="false">
      <c r="A15" s="0" t="s">
        <v>772</v>
      </c>
      <c r="B15" s="0" t="n">
        <f aca="false">COUNTA(Gold_Map!$A$2:$A$200)</f>
        <v>105</v>
      </c>
    </row>
    <row r="16" customFormat="false" ht="15" hidden="false" customHeight="false" outlineLevel="0" collapsed="false">
      <c r="A16" s="0" t="s">
        <v>773</v>
      </c>
      <c r="B16" s="0" t="n">
        <f aca="false">COUNTA(KB!$H$2:$H$137)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2026-10-26T09:23:23Z</dcterms:created>
  <dc:creator>openpyxl</dc:creator>
  <dc:description/>
  <dc:language>en-US</dc:language>
  <cp:lastModifiedBy/>
  <dcterms:modified xsi:type="dcterms:W3CDTF">2026-10-26T09:23:23Z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